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b716fbfcb549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solidado" sheetId="1" r:id="R0c5c8dbffc53465b"/>
    <x:sheet xmlns:r="http://schemas.openxmlformats.org/officeDocument/2006/relationships" name="Fabricacion" sheetId="2" r:id="R8d60b6902ec54267"/>
    <x:sheet xmlns:r="http://schemas.openxmlformats.org/officeDocument/2006/relationships" name="Stock" sheetId="3" r:id="R173b6d8db1804f3f"/>
    <x:sheet xmlns:r="http://schemas.openxmlformats.org/officeDocument/2006/relationships" name="School Series" sheetId="4" r:id="R05cbe37b55204069"/>
    <x:sheet xmlns:r="http://schemas.openxmlformats.org/officeDocument/2006/relationships" name="Fuentes_Reglas" sheetId="5" r:id="R5eecdf62054b40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&quot;MXN&quot; #,##0.00;[Red]-&quot;MXN&quot; #,##0.00"/>
    <x:numFmt numFmtId="202" formatCode="#,##0.##"/>
    <x:numFmt numFmtId="203" formatCode="#,##0"/>
  </x:numFmts>
  <x:fonts count="10">
    <x:font>
      <x:sz val="11"/>
      <x:name val="Carlito"/>
    </x:font>
    <x:font>
      <x:b/>
      <x:sz val="10"/>
      <x:color rgb="FFFFFFFF"/>
      <x:name val="Carlito"/>
    </x:font>
    <x:font>
      <x:sz val="9"/>
      <x:color rgb="FF1F2937"/>
      <x:name val="Carlito"/>
    </x:font>
    <x:font>
      <x:b/>
      <x:sz val="16"/>
      <x:color rgb="FFFFFFFF"/>
      <x:name val="Carlito"/>
    </x:font>
    <x:font>
      <x:i/>
      <x:sz val="10"/>
      <x:color rgb="FF17365D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  <x:font>
      <x:b/>
      <x:sz val="10"/>
      <x:color rgb="FF385723"/>
      <x:name val="Carlito"/>
    </x:font>
    <x:font>
      <x:sz val="10"/>
      <x:color rgb="FF5B2C0B"/>
      <x:name val="Carlito"/>
    </x:font>
    <x:font>
      <x:b/>
      <x:sz val="10"/>
      <x:color rgb="FF843C0C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2F75B5"/>
      </x:patternFill>
    </x:fill>
    <x:fill>
      <x:patternFill patternType="solid">
        <x:fgColor rgb="FF5B9BD5"/>
      </x:patternFill>
    </x:fill>
    <x:fill>
      <x:patternFill patternType="solid">
        <x:fgColor rgb="FFF8FAFC"/>
      </x:patternFill>
    </x:fill>
    <x:fill>
      <x:patternFill patternType="solid">
        <x:fgColor rgb="FF70AD47"/>
      </x:patternFill>
    </x:fill>
    <x:fill>
      <x:patternFill patternType="solid">
        <x:fgColor rgb="FFF3F8EF"/>
      </x:patternFill>
    </x:fill>
    <x:fill>
      <x:patternFill patternType="solid">
        <x:fgColor rgb="FFE2F0D9"/>
      </x:patternFill>
    </x:fill>
    <x:fill>
      <x:patternFill patternType="solid">
        <x:fgColor rgb="FFED7D31"/>
      </x:patternFill>
    </x:fill>
    <x:fill>
      <x:patternFill patternType="solid">
        <x:fgColor rgb="FFFFF4EC"/>
      </x:patternFill>
    </x:fill>
  </x:fills>
  <x:borders count="28">
    <x:border/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right style="thin">
        <x:color rgb="FFC6E0B4"/>
      </x:right>
      <x:bottom style="thin">
        <x:color rgb="FFC6E0B4"/>
      </x:bottom>
    </x:border>
    <x:border>
      <x:left style="thin">
        <x:color rgb="FFC6E0B4"/>
      </x:left>
      <x:bottom style="thin">
        <x:color rgb="FFC6E0B4"/>
      </x:bottom>
    </x:border>
    <x:border>
      <x:right style="thin">
        <x:color rgb="FFC6E0B4"/>
      </x:right>
      <x:top style="thin">
        <x:color rgb="FFC6E0B4"/>
      </x:top>
      <x:bottom style="thin">
        <x:color rgb="FFC6E0B4"/>
      </x:bottom>
    </x:border>
    <x:border>
      <x:left style="thin">
        <x:color rgb="FFC6E0B4"/>
      </x:left>
      <x:top style="thin">
        <x:color rgb="FFC6E0B4"/>
      </x:top>
      <x:bottom style="thin">
        <x:color rgb="FFC6E0B4"/>
      </x:bottom>
    </x:border>
    <x:border>
      <x:right style="thin">
        <x:color rgb="FFC6E0B4"/>
      </x:right>
      <x:top style="thin">
        <x:color rgb="FFC6E0B4"/>
      </x:top>
    </x:border>
    <x:border>
      <x:left style="thin">
        <x:color rgb="FFC6E0B4"/>
      </x:left>
      <x:top style="thin">
        <x:color rgb="FFC6E0B4"/>
      </x:top>
    </x:border>
    <x:border>
      <x:right style="thin">
        <x:color rgb="FFF4B183"/>
      </x:right>
      <x:bottom style="thin">
        <x:color rgb="FFF4B183"/>
      </x:bottom>
    </x:border>
    <x:border>
      <x:left style="thin">
        <x:color rgb="FFF4B183"/>
      </x:left>
      <x:right style="thin">
        <x:color rgb="FFF4B183"/>
      </x:right>
      <x:bottom style="thin">
        <x:color rgb="FFF4B183"/>
      </x:bottom>
    </x:border>
    <x:border>
      <x:left style="thin">
        <x:color rgb="FFF4B183"/>
      </x:left>
      <x:bottom style="thin">
        <x:color rgb="FFF4B183"/>
      </x:bottom>
    </x:border>
    <x:border>
      <x:right style="thin">
        <x:color rgb="FFF4B183"/>
      </x:right>
      <x:top style="thin">
        <x:color rgb="FFF4B183"/>
      </x:top>
      <x:bottom style="thin">
        <x:color rgb="FFF4B183"/>
      </x:bottom>
    </x:border>
    <x:border>
      <x:left style="thin">
        <x:color rgb="FFF4B183"/>
      </x:left>
      <x:right style="thin">
        <x:color rgb="FFF4B183"/>
      </x:right>
      <x:top style="thin">
        <x:color rgb="FFF4B183"/>
      </x:top>
      <x:bottom style="thin">
        <x:color rgb="FFF4B183"/>
      </x:bottom>
    </x:border>
    <x:border>
      <x:left style="thin">
        <x:color rgb="FFF4B183"/>
      </x:left>
      <x:top style="thin">
        <x:color rgb="FFF4B183"/>
      </x:top>
      <x:bottom style="thin">
        <x:color rgb="FFF4B183"/>
      </x:bottom>
    </x:border>
    <x:border>
      <x:right style="thin">
        <x:color rgb="FFF4B183"/>
      </x:right>
      <x:top style="thin">
        <x:color rgb="FFF4B183"/>
      </x:top>
    </x:border>
    <x:border>
      <x:left style="thin">
        <x:color rgb="FFF4B183"/>
      </x:left>
      <x:right style="thin">
        <x:color rgb="FFF4B183"/>
      </x:right>
      <x:top style="thin">
        <x:color rgb="FFF4B183"/>
      </x:top>
    </x:border>
    <x:border>
      <x:left style="thin">
        <x:color rgb="FFF4B183"/>
      </x:left>
      <x:top style="thin">
        <x:color rgb="FFF4B183"/>
      </x:top>
    </x:border>
  </x:borders>
  <x:cellStyleXfs count="1">
    <x:xf numFmtId="0" fontId="0" fillId="0" borderId="0"/>
  </x:cellStyleXfs>
  <x:cellXfs count="1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200" fontId="2" fillId="0" borderId="0" xfId="0" applyNumberFormat="1" applyFont="1" applyFill="1" applyBorder="1" applyAlignment="1">
      <x:alignment vertical="top" wrapText="1"/>
    </x:xf>
    <x:xf numFmtId="201" fontId="2" fillId="0" borderId="0" xfId="0" applyNumberFormat="1" applyFont="1" applyFill="1" applyBorder="1" applyAlignment="1">
      <x:alignment vertical="top" wrapText="1"/>
    </x:xf>
    <x:xf numFmtId="202" fontId="2" fillId="0" borderId="0" xfId="0" applyNumberFormat="1" applyFont="1" applyFill="1" applyBorder="1" applyAlignment="1">
      <x:alignment vertical="top" wrapText="1"/>
    </x:xf>
    <x:xf numFmtId="200" fontId="2" fillId="0" borderId="0" xfId="0" applyNumberFormat="1" applyFont="1" applyFill="1" applyBorder="1" applyAlignment="1">
      <x:alignment horizontal="center" vertical="top" wrapText="1"/>
    </x:xf>
    <x:xf numFmtId="0" fontId="2" fillId="0" borderId="0" xfId="0" applyNumberFormat="1" applyFont="1" applyFill="1" applyBorder="1" applyAlignment="1">
      <x:alignment horizontal="center" vertical="top" wrapText="1"/>
    </x:xf>
    <x:xf numFmtId="201" fontId="2" fillId="0" borderId="0" xfId="0" applyNumberFormat="1" applyFont="1" applyFill="1" applyBorder="1" applyAlignment="1">
      <x:alignment horizontal="right" vertical="top" wrapText="1"/>
    </x:xf>
    <x:xf numFmtId="202" fontId="2" fillId="0" borderId="0" xfId="0" applyNumberFormat="1" applyFont="1" applyFill="1" applyBorder="1" applyAlignment="1">
      <x:alignment horizontal="center"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4" xfId="0" applyNumberFormat="1" applyFont="1" applyFill="1" applyBorder="1"/>
    <x:xf numFmtId="0" fontId="2" fillId="6" borderId="5" xfId="0" applyNumberFormat="1" applyFont="1" applyFill="1" applyBorder="1"/>
    <x:xf numFmtId="0" fontId="2" fillId="6" borderId="6" xfId="0" applyNumberFormat="1" applyFont="1" applyFill="1" applyBorder="1"/>
    <x:xf numFmtId="0" fontId="2" fillId="6" borderId="7" xfId="0" applyNumberFormat="1" applyFont="1" applyFill="1" applyBorder="1"/>
    <x:xf numFmtId="0" fontId="2" fillId="6" borderId="8" xfId="0" applyNumberFormat="1" applyFont="1" applyFill="1" applyBorder="1"/>
    <x:xf numFmtId="0" fontId="2" fillId="6" borderId="9" xfId="0" applyNumberFormat="1" applyFont="1" applyFill="1" applyBorder="1"/>
    <x:xf numFmtId="0" fontId="2" fillId="6" borderId="10" xfId="0" applyNumberFormat="1" applyFont="1" applyFill="1" applyBorder="1"/>
    <x:xf numFmtId="0" fontId="2" fillId="6" borderId="11" xfId="0" applyNumberFormat="1" applyFont="1" applyFill="1" applyBorder="1"/>
    <x:xf numFmtId="0" fontId="2" fillId="6" borderId="12" xfId="0" applyNumberFormat="1" applyFont="1" applyFill="1" applyBorder="1"/>
    <x:xf numFmtId="0" fontId="2" fillId="6" borderId="4" xfId="0" applyNumberFormat="1" applyFont="1" applyFill="1" applyBorder="1" applyAlignment="1">
      <x:alignment wrapText="1"/>
    </x:xf>
    <x:xf numFmtId="0" fontId="2" fillId="6" borderId="5" xfId="0" applyNumberFormat="1" applyFont="1" applyFill="1" applyBorder="1" applyAlignment="1">
      <x:alignment wrapText="1"/>
    </x:xf>
    <x:xf numFmtId="0" fontId="2" fillId="6" borderId="6" xfId="0" applyNumberFormat="1" applyFont="1" applyFill="1" applyBorder="1" applyAlignment="1">
      <x:alignment wrapText="1"/>
    </x:xf>
    <x:xf numFmtId="0" fontId="2" fillId="6" borderId="7" xfId="0" applyNumberFormat="1" applyFont="1" applyFill="1" applyBorder="1" applyAlignment="1">
      <x:alignment wrapText="1"/>
    </x:xf>
    <x:xf numFmtId="0" fontId="2" fillId="6" borderId="8" xfId="0" applyNumberFormat="1" applyFont="1" applyFill="1" applyBorder="1" applyAlignment="1">
      <x:alignment wrapText="1"/>
    </x:xf>
    <x:xf numFmtId="0" fontId="2" fillId="6" borderId="9" xfId="0" applyNumberFormat="1" applyFont="1" applyFill="1" applyBorder="1" applyAlignment="1">
      <x:alignment wrapText="1"/>
    </x:xf>
    <x:xf numFmtId="0" fontId="2" fillId="6" borderId="10" xfId="0" applyNumberFormat="1" applyFont="1" applyFill="1" applyBorder="1" applyAlignment="1">
      <x:alignment wrapText="1"/>
    </x:xf>
    <x:xf numFmtId="0" fontId="2" fillId="6" borderId="11" xfId="0" applyNumberFormat="1" applyFont="1" applyFill="1" applyBorder="1" applyAlignment="1">
      <x:alignment wrapText="1"/>
    </x:xf>
    <x:xf numFmtId="0" fontId="2" fillId="6" borderId="12" xfId="0" applyNumberFormat="1" applyFont="1" applyFill="1" applyBorder="1" applyAlignment="1">
      <x:alignment wrapText="1"/>
    </x:xf>
    <x:xf numFmtId="0" fontId="2" fillId="6" borderId="4" xfId="0" applyNumberFormat="1" applyFont="1" applyFill="1" applyBorder="1" applyAlignment="1">
      <x:alignment vertical="top" wrapText="1"/>
    </x:xf>
    <x:xf numFmtId="0" fontId="2" fillId="6" borderId="5" xfId="0" applyNumberFormat="1" applyFont="1" applyFill="1" applyBorder="1" applyAlignment="1">
      <x:alignment vertical="top" wrapText="1"/>
    </x:xf>
    <x:xf numFmtId="0" fontId="2" fillId="6" borderId="6" xfId="0" applyNumberFormat="1" applyFont="1" applyFill="1" applyBorder="1" applyAlignment="1">
      <x:alignment vertical="top" wrapText="1"/>
    </x:xf>
    <x:xf numFmtId="0" fontId="2" fillId="6" borderId="7" xfId="0" applyNumberFormat="1" applyFont="1" applyFill="1" applyBorder="1" applyAlignment="1">
      <x:alignment vertical="top" wrapText="1"/>
    </x:xf>
    <x:xf numFmtId="0" fontId="2" fillId="6" borderId="8" xfId="0" applyNumberFormat="1" applyFont="1" applyFill="1" applyBorder="1" applyAlignment="1">
      <x:alignment vertical="top" wrapText="1"/>
    </x:xf>
    <x:xf numFmtId="0" fontId="2" fillId="6" borderId="9" xfId="0" applyNumberFormat="1" applyFont="1" applyFill="1" applyBorder="1" applyAlignment="1">
      <x:alignment vertical="top" wrapText="1"/>
    </x:xf>
    <x:xf numFmtId="0" fontId="2" fillId="6" borderId="10" xfId="0" applyNumberFormat="1" applyFont="1" applyFill="1" applyBorder="1" applyAlignment="1">
      <x:alignment vertical="top" wrapText="1"/>
    </x:xf>
    <x:xf numFmtId="0" fontId="2" fillId="6" borderId="11" xfId="0" applyNumberFormat="1" applyFont="1" applyFill="1" applyBorder="1" applyAlignment="1">
      <x:alignment vertical="top" wrapText="1"/>
    </x:xf>
    <x:xf numFmtId="0" fontId="2" fillId="6" borderId="12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13" xfId="0" applyNumberFormat="1" applyFont="1" applyFill="1" applyBorder="1"/>
    <x:xf numFmtId="0" fontId="6" fillId="8" borderId="14" xfId="0" applyNumberFormat="1" applyFont="1" applyFill="1" applyBorder="1"/>
    <x:xf numFmtId="0" fontId="6" fillId="8" borderId="15" xfId="0" applyNumberFormat="1" applyFont="1" applyFill="1" applyBorder="1"/>
    <x:xf numFmtId="0" fontId="6" fillId="8" borderId="16" xfId="0" applyNumberFormat="1" applyFont="1" applyFill="1" applyBorder="1"/>
    <x:xf numFmtId="0" fontId="6" fillId="8" borderId="17" xfId="0" applyNumberFormat="1" applyFont="1" applyFill="1" applyBorder="1"/>
    <x:xf numFmtId="0" fontId="6" fillId="8" borderId="18" xfId="0" applyNumberFormat="1" applyFont="1" applyFill="1" applyBorder="1"/>
    <x:xf numFmtId="0" fontId="6" fillId="8" borderId="13" xfId="0" applyNumberFormat="1" applyFont="1" applyFill="1" applyBorder="1" applyAlignment="1">
      <x:alignment vertical="center"/>
    </x:xf>
    <x:xf numFmtId="0" fontId="6" fillId="8" borderId="14" xfId="0" applyNumberFormat="1" applyFont="1" applyFill="1" applyBorder="1" applyAlignment="1">
      <x:alignment vertical="center"/>
    </x:xf>
    <x:xf numFmtId="0" fontId="6" fillId="8" borderId="15" xfId="0" applyNumberFormat="1" applyFont="1" applyFill="1" applyBorder="1" applyAlignment="1">
      <x:alignment vertical="center"/>
    </x:xf>
    <x:xf numFmtId="0" fontId="6" fillId="8" borderId="16" xfId="0" applyNumberFormat="1" applyFont="1" applyFill="1" applyBorder="1" applyAlignment="1">
      <x:alignment vertical="center"/>
    </x:xf>
    <x:xf numFmtId="0" fontId="6" fillId="8" borderId="17" xfId="0" applyNumberFormat="1" applyFont="1" applyFill="1" applyBorder="1" applyAlignment="1">
      <x:alignment vertical="center"/>
    </x:xf>
    <x:xf numFmtId="0" fontId="6" fillId="8" borderId="18" xfId="0" applyNumberFormat="1" applyFont="1" applyFill="1" applyBorder="1" applyAlignment="1">
      <x:alignment vertical="center"/>
    </x:xf>
    <x:xf numFmtId="0" fontId="6" fillId="9" borderId="14" xfId="0" applyNumberFormat="1" applyFont="1" applyFill="1" applyBorder="1" applyAlignment="1">
      <x:alignment vertical="center"/>
    </x:xf>
    <x:xf numFmtId="0" fontId="6" fillId="9" borderId="16" xfId="0" applyNumberFormat="1" applyFont="1" applyFill="1" applyBorder="1" applyAlignment="1">
      <x:alignment vertical="center"/>
    </x:xf>
    <x:xf numFmtId="0" fontId="6" fillId="9" borderId="18" xfId="0" applyNumberFormat="1" applyFont="1" applyFill="1" applyBorder="1" applyAlignment="1">
      <x:alignment vertical="center"/>
    </x:xf>
    <x:xf numFmtId="0" fontId="7" fillId="9" borderId="14" xfId="0" applyNumberFormat="1" applyFont="1" applyFill="1" applyBorder="1" applyAlignment="1">
      <x:alignment vertical="center"/>
    </x:xf>
    <x:xf numFmtId="0" fontId="7" fillId="9" borderId="16" xfId="0" applyNumberFormat="1" applyFont="1" applyFill="1" applyBorder="1" applyAlignment="1">
      <x:alignment vertical="center"/>
    </x:xf>
    <x:xf numFmtId="0" fontId="7" fillId="9" borderId="18" xfId="0" applyNumberFormat="1" applyFont="1" applyFill="1" applyBorder="1" applyAlignment="1">
      <x:alignment vertical="center"/>
    </x:xf>
    <x:xf numFmtId="203" fontId="7" fillId="9" borderId="14" xfId="0" applyNumberFormat="1" applyFont="1" applyFill="1" applyBorder="1" applyAlignment="1">
      <x:alignment vertical="center"/>
    </x:xf>
    <x:xf numFmtId="203" fontId="7" fillId="9" borderId="16" xfId="0" applyNumberFormat="1" applyFont="1" applyFill="1" applyBorder="1" applyAlignment="1">
      <x:alignment vertical="center"/>
    </x:xf>
    <x:xf numFmtId="203" fontId="7" fillId="9" borderId="18" xfId="0" applyNumberFormat="1" applyFont="1" applyFill="1" applyBorder="1" applyAlignment="1">
      <x:alignment vertical="center"/>
    </x:xf>
    <x:xf numFmtId="203" fontId="7" fillId="9" borderId="14" xfId="0" applyNumberFormat="1" applyFont="1" applyFill="1" applyBorder="1" applyAlignment="1">
      <x:alignment horizontal="right" vertical="center"/>
    </x:xf>
    <x:xf numFmtId="203" fontId="7" fillId="9" borderId="16" xfId="0" applyNumberFormat="1" applyFont="1" applyFill="1" applyBorder="1" applyAlignment="1">
      <x:alignment horizontal="right" vertical="center"/>
    </x:xf>
    <x:xf numFmtId="203" fontId="7" fillId="9" borderId="18" xfId="0" applyNumberFormat="1" applyFont="1" applyFill="1" applyBorder="1" applyAlignment="1">
      <x:alignment horizontal="right" vertical="center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0" fillId="11" borderId="0" xfId="0" applyNumberFormat="1" applyFont="1" applyFill="1" applyBorder="1"/>
    <x:xf numFmtId="0" fontId="8" fillId="11" borderId="0" xfId="0" applyNumberFormat="1" applyFont="1" applyFill="1" applyBorder="1"/>
    <x:xf numFmtId="0" fontId="8" fillId="11" borderId="19" xfId="0" applyNumberFormat="1" applyFont="1" applyFill="1" applyBorder="1"/>
    <x:xf numFmtId="0" fontId="8" fillId="11" borderId="20" xfId="0" applyNumberFormat="1" applyFont="1" applyFill="1" applyBorder="1"/>
    <x:xf numFmtId="0" fontId="8" fillId="11" borderId="21" xfId="0" applyNumberFormat="1" applyFont="1" applyFill="1" applyBorder="1"/>
    <x:xf numFmtId="0" fontId="8" fillId="11" borderId="22" xfId="0" applyNumberFormat="1" applyFont="1" applyFill="1" applyBorder="1"/>
    <x:xf numFmtId="0" fontId="8" fillId="11" borderId="23" xfId="0" applyNumberFormat="1" applyFont="1" applyFill="1" applyBorder="1"/>
    <x:xf numFmtId="0" fontId="8" fillId="11" borderId="24" xfId="0" applyNumberFormat="1" applyFont="1" applyFill="1" applyBorder="1"/>
    <x:xf numFmtId="0" fontId="8" fillId="11" borderId="25" xfId="0" applyNumberFormat="1" applyFont="1" applyFill="1" applyBorder="1"/>
    <x:xf numFmtId="0" fontId="8" fillId="11" borderId="26" xfId="0" applyNumberFormat="1" applyFont="1" applyFill="1" applyBorder="1"/>
    <x:xf numFmtId="0" fontId="8" fillId="11" borderId="27" xfId="0" applyNumberFormat="1" applyFont="1" applyFill="1" applyBorder="1"/>
    <x:xf numFmtId="0" fontId="8" fillId="11" borderId="19" xfId="0" applyNumberFormat="1" applyFont="1" applyFill="1" applyBorder="1" applyAlignment="1">
      <x:alignment wrapText="1"/>
    </x:xf>
    <x:xf numFmtId="0" fontId="8" fillId="11" borderId="20" xfId="0" applyNumberFormat="1" applyFont="1" applyFill="1" applyBorder="1" applyAlignment="1">
      <x:alignment wrapText="1"/>
    </x:xf>
    <x:xf numFmtId="0" fontId="8" fillId="11" borderId="21" xfId="0" applyNumberFormat="1" applyFont="1" applyFill="1" applyBorder="1" applyAlignment="1">
      <x:alignment wrapText="1"/>
    </x:xf>
    <x:xf numFmtId="0" fontId="8" fillId="11" borderId="22" xfId="0" applyNumberFormat="1" applyFont="1" applyFill="1" applyBorder="1" applyAlignment="1">
      <x:alignment wrapText="1"/>
    </x:xf>
    <x:xf numFmtId="0" fontId="8" fillId="11" borderId="23" xfId="0" applyNumberFormat="1" applyFont="1" applyFill="1" applyBorder="1" applyAlignment="1">
      <x:alignment wrapText="1"/>
    </x:xf>
    <x:xf numFmtId="0" fontId="8" fillId="11" borderId="24" xfId="0" applyNumberFormat="1" applyFont="1" applyFill="1" applyBorder="1" applyAlignment="1">
      <x:alignment wrapText="1"/>
    </x:xf>
    <x:xf numFmtId="0" fontId="8" fillId="11" borderId="25" xfId="0" applyNumberFormat="1" applyFont="1" applyFill="1" applyBorder="1" applyAlignment="1">
      <x:alignment wrapText="1"/>
    </x:xf>
    <x:xf numFmtId="0" fontId="8" fillId="11" borderId="26" xfId="0" applyNumberFormat="1" applyFont="1" applyFill="1" applyBorder="1" applyAlignment="1">
      <x:alignment wrapText="1"/>
    </x:xf>
    <x:xf numFmtId="0" fontId="8" fillId="11" borderId="27" xfId="0" applyNumberFormat="1" applyFont="1" applyFill="1" applyBorder="1" applyAlignment="1">
      <x:alignment wrapText="1"/>
    </x:xf>
    <x:xf numFmtId="0" fontId="8" fillId="11" borderId="19" xfId="0" applyNumberFormat="1" applyFont="1" applyFill="1" applyBorder="1" applyAlignment="1">
      <x:alignment vertical="top" wrapText="1"/>
    </x:xf>
    <x:xf numFmtId="0" fontId="8" fillId="11" borderId="20" xfId="0" applyNumberFormat="1" applyFont="1" applyFill="1" applyBorder="1" applyAlignment="1">
      <x:alignment vertical="top" wrapText="1"/>
    </x:xf>
    <x:xf numFmtId="0" fontId="8" fillId="11" borderId="21" xfId="0" applyNumberFormat="1" applyFont="1" applyFill="1" applyBorder="1" applyAlignment="1">
      <x:alignment vertical="top" wrapText="1"/>
    </x:xf>
    <x:xf numFmtId="0" fontId="8" fillId="11" borderId="22" xfId="0" applyNumberFormat="1" applyFont="1" applyFill="1" applyBorder="1" applyAlignment="1">
      <x:alignment vertical="top" wrapText="1"/>
    </x:xf>
    <x:xf numFmtId="0" fontId="8" fillId="11" borderId="23" xfId="0" applyNumberFormat="1" applyFont="1" applyFill="1" applyBorder="1" applyAlignment="1">
      <x:alignment vertical="top" wrapText="1"/>
    </x:xf>
    <x:xf numFmtId="0" fontId="8" fillId="11" borderId="24" xfId="0" applyNumberFormat="1" applyFont="1" applyFill="1" applyBorder="1" applyAlignment="1">
      <x:alignment vertical="top" wrapText="1"/>
    </x:xf>
    <x:xf numFmtId="0" fontId="8" fillId="11" borderId="25" xfId="0" applyNumberFormat="1" applyFont="1" applyFill="1" applyBorder="1" applyAlignment="1">
      <x:alignment vertical="top" wrapText="1"/>
    </x:xf>
    <x:xf numFmtId="0" fontId="8" fillId="11" borderId="26" xfId="0" applyNumberFormat="1" applyFont="1" applyFill="1" applyBorder="1" applyAlignment="1">
      <x:alignment vertical="top" wrapText="1"/>
    </x:xf>
    <x:xf numFmtId="0" fontId="8" fillId="11" borderId="27" xfId="0" applyNumberFormat="1" applyFont="1" applyFill="1" applyBorder="1" applyAlignment="1">
      <x:alignment vertical="top" wrapText="1"/>
    </x:xf>
    <x:xf numFmtId="0" fontId="9" fillId="11" borderId="19" xfId="0" applyNumberFormat="1" applyFont="1" applyFill="1" applyBorder="1" applyAlignment="1">
      <x:alignment vertical="top" wrapText="1"/>
    </x:xf>
    <x:xf numFmtId="0" fontId="9" fillId="11" borderId="22" xfId="0" applyNumberFormat="1" applyFont="1" applyFill="1" applyBorder="1" applyAlignment="1">
      <x:alignment vertical="top" wrapText="1"/>
    </x:xf>
    <x:xf numFmtId="0" fontId="9" fillId="11" borderId="25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bf8eaddb6f4b9f" /><Relationship Type="http://schemas.openxmlformats.org/officeDocument/2006/relationships/theme" Target="/xl/theme/theme1.xml" Id="R7cd80d337cea4752" /><Relationship Type="http://schemas.openxmlformats.org/officeDocument/2006/relationships/sharedStrings" Target="/xl/sharedStrings.xml" Id="Rc6c500e375c045d6" /><Relationship Type="http://schemas.openxmlformats.org/officeDocument/2006/relationships/worksheet" Target="/xl/worksheets/sheet1.xml" Id="R0c5c8dbffc53465b" /><Relationship Type="http://schemas.openxmlformats.org/officeDocument/2006/relationships/worksheet" Target="/xl/worksheets/sheet2.xml" Id="R8d60b6902ec54267" /><Relationship Type="http://schemas.openxmlformats.org/officeDocument/2006/relationships/worksheet" Target="/xl/worksheets/sheet3.xml" Id="R173b6d8db1804f3f" /><Relationship Type="http://schemas.openxmlformats.org/officeDocument/2006/relationships/worksheet" Target="/xl/worksheets/sheet4.xml" Id="R05cbe37b55204069" /><Relationship Type="http://schemas.openxmlformats.org/officeDocument/2006/relationships/worksheet" Target="/xl/worksheets/sheet5.xml" Id="R5eecdf62054b409f" /></Relationships>
</file>

<file path=xl/tables/table1.xml><?xml version="1.0" encoding="utf-8"?>
<x:table xmlns:x="http://schemas.openxmlformats.org/spreadsheetml/2006/main" id="1" name="TablaConsolidado" displayName="TablaConsolidado" ref="A1:X221" headerRowCount="1" totalsRowCount="0" totalsRowShown="0">
  <x:autoFilter ref="A1:X221"/>
  <x:tableColumns count="24">
    <x:tableColumn id="1" name="Proveedor"/>
    <x:tableColumn id="2" name="Subcatalogo"/>
    <x:tableColumn id="3" name="Archivo_origen"/>
    <x:tableColumn id="4" name="Pagina_origen"/>
    <x:tableColumn id="5" name="Clave_estable"/>
    <x:tableColumn id="6" name="SKU"/>
    <x:tableColumn id="7" name="Estado_codigo"/>
    <x:tableColumn id="8" name="Producto"/>
    <x:tableColumn id="9" name="Familia"/>
    <x:tableColumn id="10" name="Variante"/>
    <x:tableColumn id="11" name="Material"/>
    <x:tableColumn id="12" name="Medidas"/>
    <x:tableColumn id="13" name="Descripcion"/>
    <x:tableColumn id="14" name="Unidad"/>
    <x:tableColumn id="15" name="Costo_MXN"/>
    <x:tableColumn id="16" name="Precio_referencia_MXN"/>
    <x:tableColumn id="17" name="Precio_original"/>
    <x:tableColumn id="18" name="Estado_precio"/>
    <x:tableColumn id="19" name="Cotizable"/>
    <x:tableColumn id="20" name="Minimo_compra"/>
    <x:tableColumn id="21" name="Imagen_referencia"/>
    <x:tableColumn id="22" name="URL_fuente"/>
    <x:tableColumn id="23" name="Identidad_hash"/>
    <x:tableColumn id="24" name="Nota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aFabricacion" displayName="TablaFabricacion" ref="A1:X139" headerRowCount="1" totalsRowCount="0" totalsRowShown="0">
  <x:autoFilter ref="A1:X139"/>
  <x:tableColumns count="24">
    <x:tableColumn id="1" name="Proveedor"/>
    <x:tableColumn id="2" name="Subcatalogo"/>
    <x:tableColumn id="3" name="Archivo_origen"/>
    <x:tableColumn id="4" name="Pagina_origen"/>
    <x:tableColumn id="5" name="Clave_estable"/>
    <x:tableColumn id="6" name="SKU"/>
    <x:tableColumn id="7" name="Estado_codigo"/>
    <x:tableColumn id="8" name="Producto"/>
    <x:tableColumn id="9" name="Familia"/>
    <x:tableColumn id="10" name="Variante"/>
    <x:tableColumn id="11" name="Material"/>
    <x:tableColumn id="12" name="Medidas"/>
    <x:tableColumn id="13" name="Descripcion"/>
    <x:tableColumn id="14" name="Unidad"/>
    <x:tableColumn id="15" name="Costo_MXN"/>
    <x:tableColumn id="16" name="Precio_referencia_MXN"/>
    <x:tableColumn id="17" name="Precio_original"/>
    <x:tableColumn id="18" name="Estado_precio"/>
    <x:tableColumn id="19" name="Cotizable"/>
    <x:tableColumn id="20" name="Minimo_compra"/>
    <x:tableColumn id="21" name="Imagen_referencia"/>
    <x:tableColumn id="22" name="URL_fuente"/>
    <x:tableColumn id="23" name="Identidad_hash"/>
    <x:tableColumn id="24" name="Nota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aStock" displayName="TablaStock" ref="A1:X63" headerRowCount="1" totalsRowCount="0" totalsRowShown="0">
  <x:autoFilter ref="A1:X63"/>
  <x:tableColumns count="24">
    <x:tableColumn id="1" name="Proveedor"/>
    <x:tableColumn id="2" name="Subcatalogo"/>
    <x:tableColumn id="3" name="Archivo_origen"/>
    <x:tableColumn id="4" name="Pagina_origen"/>
    <x:tableColumn id="5" name="Clave_estable"/>
    <x:tableColumn id="6" name="SKU"/>
    <x:tableColumn id="7" name="Estado_codigo"/>
    <x:tableColumn id="8" name="Producto"/>
    <x:tableColumn id="9" name="Familia"/>
    <x:tableColumn id="10" name="Variante"/>
    <x:tableColumn id="11" name="Material"/>
    <x:tableColumn id="12" name="Medidas"/>
    <x:tableColumn id="13" name="Descripcion"/>
    <x:tableColumn id="14" name="Unidad"/>
    <x:tableColumn id="15" name="Costo_MXN"/>
    <x:tableColumn id="16" name="Precio_referencia_MXN"/>
    <x:tableColumn id="17" name="Precio_original"/>
    <x:tableColumn id="18" name="Estado_precio"/>
    <x:tableColumn id="19" name="Cotizable"/>
    <x:tableColumn id="20" name="Minimo_compra"/>
    <x:tableColumn id="21" name="Imagen_referencia"/>
    <x:tableColumn id="22" name="URL_fuente"/>
    <x:tableColumn id="23" name="Identidad_hash"/>
    <x:tableColumn id="24" name="Nota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blaSchoolSeries" displayName="TablaSchoolSeries" ref="A1:X21" headerRowCount="1" totalsRowCount="0" totalsRowShown="0">
  <x:autoFilter ref="A1:X21"/>
  <x:tableColumns count="24">
    <x:tableColumn id="1" name="Proveedor"/>
    <x:tableColumn id="2" name="Subcatalogo"/>
    <x:tableColumn id="3" name="Archivo_origen"/>
    <x:tableColumn id="4" name="Pagina_origen"/>
    <x:tableColumn id="5" name="Clave_estable"/>
    <x:tableColumn id="6" name="SKU"/>
    <x:tableColumn id="7" name="Estado_codigo"/>
    <x:tableColumn id="8" name="Producto"/>
    <x:tableColumn id="9" name="Familia"/>
    <x:tableColumn id="10" name="Variante"/>
    <x:tableColumn id="11" name="Material"/>
    <x:tableColumn id="12" name="Medidas"/>
    <x:tableColumn id="13" name="Descripcion"/>
    <x:tableColumn id="14" name="Unidad"/>
    <x:tableColumn id="15" name="Costo_MXN"/>
    <x:tableColumn id="16" name="Precio_referencia_MXN"/>
    <x:tableColumn id="17" name="Precio_original"/>
    <x:tableColumn id="18" name="Estado_precio"/>
    <x:tableColumn id="19" name="Cotizable"/>
    <x:tableColumn id="20" name="Minimo_compra"/>
    <x:tableColumn id="21" name="Imagen_referencia"/>
    <x:tableColumn id="22" name="URL_fuente"/>
    <x:tableColumn id="23" name="Identidad_hash"/>
    <x:tableColumn id="24" name="Nota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37dddfdc832475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00f493d634341f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f0eb3a6ac3f455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e000e0e69114d61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7" hidden="0" customWidth="1"/>
    <x:col min="3" max="3" width="36" hidden="0" customWidth="1"/>
    <x:col min="4" max="4" width="12" hidden="0" customWidth="1"/>
    <x:col min="5" max="5" width="35" hidden="0" customWidth="1"/>
    <x:col min="6" max="6" width="15" hidden="0" customWidth="1"/>
    <x:col min="7" max="7" width="15" hidden="0" customWidth="1"/>
    <x:col min="8" max="8" width="28" hidden="0" customWidth="1"/>
    <x:col min="9" max="9" width="22" hidden="0" customWidth="1"/>
    <x:col min="10" max="10" width="24" hidden="0" customWidth="1"/>
    <x:col min="11" max="11" width="30" hidden="0" customWidth="1"/>
    <x:col min="12" max="12" width="25" hidden="0" customWidth="1"/>
    <x:col min="13" max="13" width="52" hidden="0" customWidth="1"/>
    <x:col min="14" max="14" width="11" hidden="0" customWidth="1"/>
    <x:col min="15" max="15" width="18" hidden="0" customWidth="1"/>
    <x:col min="16" max="16" width="23" hidden="0" customWidth="1"/>
    <x:col min="17" max="17" width="28" hidden="0" customWidth="1"/>
    <x:col min="18" max="18" width="17" hidden="0" customWidth="1"/>
    <x:col min="19" max="19" width="12" hidden="0" customWidth="1"/>
    <x:col min="20" max="20" width="15" hidden="0" customWidth="1"/>
    <x:col min="21" max="21" width="45" hidden="0" customWidth="1"/>
    <x:col min="22" max="22" width="47" hidden="0" customWidth="1"/>
    <x:col min="23" max="23" width="67" hidden="0" customWidth="1"/>
    <x:col min="24" max="24" width="48" hidden="0" customWidth="1"/>
  </x:cols>
  <x:sheetData>
    <x:row r="1" ht="36" customHeight="1">
      <x:c r="A1" s="12" t="str">
        <x:v>Proveedor</x:v>
      </x:c>
      <x:c r="B1" s="13" t="str">
        <x:v>Subcatalogo</x:v>
      </x:c>
      <x:c r="C1" s="13" t="str">
        <x:v>Archivo_origen</x:v>
      </x:c>
      <x:c r="D1" s="13" t="str">
        <x:v>Pagina_origen</x:v>
      </x:c>
      <x:c r="E1" s="13" t="str">
        <x:v>Clave_estable</x:v>
      </x:c>
      <x:c r="F1" s="13" t="str">
        <x:v>SKU</x:v>
      </x:c>
      <x:c r="G1" s="13" t="str">
        <x:v>Estado_codigo</x:v>
      </x:c>
      <x:c r="H1" s="13" t="str">
        <x:v>Producto</x:v>
      </x:c>
      <x:c r="I1" s="13" t="str">
        <x:v>Familia</x:v>
      </x:c>
      <x:c r="J1" s="13" t="str">
        <x:v>Variante</x:v>
      </x:c>
      <x:c r="K1" s="13" t="str">
        <x:v>Material</x:v>
      </x:c>
      <x:c r="L1" s="13" t="str">
        <x:v>Medidas</x:v>
      </x:c>
      <x:c r="M1" s="13" t="str">
        <x:v>Descripcion</x:v>
      </x:c>
      <x:c r="N1" s="13" t="str">
        <x:v>Unidad</x:v>
      </x:c>
      <x:c r="O1" s="13" t="str">
        <x:v>Costo_MXN</x:v>
      </x:c>
      <x:c r="P1" s="13" t="str">
        <x:v>Precio_referencia_MXN</x:v>
      </x:c>
      <x:c r="Q1" s="13" t="str">
        <x:v>Precio_original</x:v>
      </x:c>
      <x:c r="R1" s="13" t="str">
        <x:v>Estado_precio</x:v>
      </x:c>
      <x:c r="S1" s="13" t="str">
        <x:v>Cotizable</x:v>
      </x:c>
      <x:c r="T1" s="13" t="str">
        <x:v>Minimo_compra</x:v>
      </x:c>
      <x:c r="U1" s="13" t="str">
        <x:v>Imagen_referencia</x:v>
      </x:c>
      <x:c r="V1" s="13" t="str">
        <x:v>URL_fuente</x:v>
      </x:c>
      <x:c r="W1" s="13" t="str">
        <x:v>Identidad_hash</x:v>
      </x:c>
      <x:c r="X1" s="14" t="str">
        <x:v>Notas</x:v>
      </x:c>
    </x:row>
    <x:row r="2" ht="34" customHeight="1">
      <x:c r="A2" s="17" t="str">
        <x:v>IDÉLIKA</x:v>
      </x:c>
      <x:c r="B2" s="17" t="str">
        <x:v>Fabricacion</x:v>
      </x:c>
      <x:c r="C2" s="17" t="str">
        <x:v>1 CATALOGO FABRICACION 2026B.pdf</x:v>
      </x:c>
      <x:c r="D2" s="21" t="n">
        <x:v>2</x:v>
      </x:c>
      <x:c r="E2" s="17" t="str">
        <x:v>idelika:fabricacion:sin-sku:2893bcc7cf502835d1b3</x:v>
      </x:c>
      <x:c r="F2" s="17"/>
      <x:c r="G2" s="22" t="str">
        <x:v>por_verificar</x:v>
      </x:c>
      <x:c r="H2" s="17" t="str">
        <x:v>Mesa Centro Nagi</x:v>
      </x:c>
      <x:c r="I2" s="17"/>
      <x:c r="J2" s="17"/>
      <x:c r="K2" s="17" t="str">
        <x:v>Madera pino chileno</x:v>
      </x:c>
      <x:c r="L2" s="17" t="str">
        <x:v>100*100*35 alto</x:v>
      </x:c>
      <x:c r="M2" s="17" t="str">
        <x:v>100*100*35 alto Madera pino chileno</x:v>
      </x:c>
      <x:c r="N2" s="22" t="str">
        <x:v>pieza</x:v>
      </x:c>
      <x:c r="O2" s="23" t="n">
        <x:v>9990</x:v>
      </x:c>
      <x:c r="P2" s="23" t="n">
        <x:v>11990</x:v>
      </x:c>
      <x:c r="Q2" s="17" t="str">
        <x:v>$11,990 – $9,990</x:v>
      </x:c>
      <x:c r="R2" s="22" t="str">
        <x:v>confirmado</x:v>
      </x:c>
      <x:c r="S2" s="22" t="str">
        <x:v>Sí</x:v>
      </x:c>
      <x:c r="T2" s="24"/>
      <x:c r="U2" s="17" t="str">
        <x:v>https://graph.microsoft.com/v1.0/me/drive/items/01DHXXN7YJMCJUVPBWNJEJPJIH7B4OTAUR#page=2</x:v>
      </x:c>
      <x:c r="V2" s="17" t="str">
        <x:v>https://graph.microsoft.com/v1.0/me/drive/items/01DHXXN7YJMCJUVPBWNJEJPJIH7B4OTAUR</x:v>
      </x:c>
      <x:c r="W2" s="17" t="str">
        <x:v>2893bcc7cf502835d1b3b26cf8b92e5e084f341aafa3ec84a7f16bf8574914cb</x:v>
      </x:c>
      <x:c r="X2" s="17" t="str">
        <x:v>SKU no publicado; se conserva una identidad técnica estable.</x:v>
      </x:c>
    </x:row>
    <x:row r="3" ht="34" customHeight="1">
      <x:c r="A3" s="17" t="str">
        <x:v>IDÉLIKA</x:v>
      </x:c>
      <x:c r="B3" s="17" t="str">
        <x:v>Fabricacion</x:v>
      </x:c>
      <x:c r="C3" s="17" t="str">
        <x:v>1 CATALOGO FABRICACION 2026B.pdf</x:v>
      </x:c>
      <x:c r="D3" s="21" t="n">
        <x:v>2</x:v>
      </x:c>
      <x:c r="E3" s="17" t="str">
        <x:v>idelika:fabricacion:sin-sku:1d4bfc68afcee1d1ea5b</x:v>
      </x:c>
      <x:c r="F3" s="17"/>
      <x:c r="G3" s="22" t="str">
        <x:v>por_verificar</x:v>
      </x:c>
      <x:c r="H3" s="17" t="str">
        <x:v>Mesa auxiliar Nagi</x:v>
      </x:c>
      <x:c r="I3" s="17"/>
      <x:c r="J3" s="17"/>
      <x:c r="K3" s="17" t="str">
        <x:v>Madera pino chileno</x:v>
      </x:c>
      <x:c r="L3" s="17" t="str">
        <x:v>40*40*55 alto</x:v>
      </x:c>
      <x:c r="M3" s="17" t="str">
        <x:v>40*40*55 alto Madera pino chileno</x:v>
      </x:c>
      <x:c r="N3" s="22" t="str">
        <x:v>pieza</x:v>
      </x:c>
      <x:c r="O3" s="23" t="n">
        <x:v>3999</x:v>
      </x:c>
      <x:c r="P3" s="23" t="n">
        <x:v>4990</x:v>
      </x:c>
      <x:c r="Q3" s="17" t="str">
        <x:v>$4,990 – $3,999</x:v>
      </x:c>
      <x:c r="R3" s="22" t="str">
        <x:v>confirmado</x:v>
      </x:c>
      <x:c r="S3" s="22" t="str">
        <x:v>Sí</x:v>
      </x:c>
      <x:c r="T3" s="24"/>
      <x:c r="U3" s="17" t="str">
        <x:v>https://graph.microsoft.com/v1.0/me/drive/items/01DHXXN7YJMCJUVPBWNJEJPJIH7B4OTAUR#page=2</x:v>
      </x:c>
      <x:c r="V3" s="17" t="str">
        <x:v>https://graph.microsoft.com/v1.0/me/drive/items/01DHXXN7YJMCJUVPBWNJEJPJIH7B4OTAUR</x:v>
      </x:c>
      <x:c r="W3" s="17" t="str">
        <x:v>1d4bfc68afcee1d1ea5b16d9e63dc26ba6a73b74c3f210df7a53e44ae8dc328d</x:v>
      </x:c>
      <x:c r="X3" s="17" t="str">
        <x:v>SKU no publicado; se conserva una identidad técnica estable.</x:v>
      </x:c>
    </x:row>
    <x:row r="4" ht="34" customHeight="1">
      <x:c r="A4" s="17" t="str">
        <x:v>IDÉLIKA</x:v>
      </x:c>
      <x:c r="B4" s="17" t="str">
        <x:v>Fabricacion</x:v>
      </x:c>
      <x:c r="C4" s="17" t="str">
        <x:v>1 CATALOGO FABRICACION 2026B.pdf</x:v>
      </x:c>
      <x:c r="D4" s="21" t="n">
        <x:v>3</x:v>
      </x:c>
      <x:c r="E4" s="17" t="str">
        <x:v>idelika:fabricacion:sin-sku:bd60b3308119f2f17c39</x:v>
      </x:c>
      <x:c r="F4" s="17"/>
      <x:c r="G4" s="22" t="str">
        <x:v>por_verificar</x:v>
      </x:c>
      <x:c r="H4" s="17" t="str">
        <x:v>Mesa comedor Kanso</x:v>
      </x:c>
      <x:c r="I4" s="17" t="str">
        <x:v>Wabi</x:v>
      </x:c>
      <x:c r="J4" s="17"/>
      <x:c r="K4" s="17" t="str">
        <x:v>Madera de Rosa morada</x:v>
      </x:c>
      <x:c r="L4" s="17" t="str">
        <x:v>140*140*75 alto</x:v>
      </x:c>
      <x:c r="M4" s="17" t="str">
        <x:v>140*140*75 alto Madera de Rosa morada</x:v>
      </x:c>
      <x:c r="N4" s="22" t="str">
        <x:v>pieza</x:v>
      </x:c>
      <x:c r="O4" s="23" t="n">
        <x:v>17990</x:v>
      </x:c>
      <x:c r="P4" s="23" t="n">
        <x:v>19990</x:v>
      </x:c>
      <x:c r="Q4" s="17" t="str">
        <x:v>$19,990 – $17,990</x:v>
      </x:c>
      <x:c r="R4" s="22" t="str">
        <x:v>confirmado</x:v>
      </x:c>
      <x:c r="S4" s="22" t="str">
        <x:v>Sí</x:v>
      </x:c>
      <x:c r="T4" s="24"/>
      <x:c r="U4" s="17" t="str">
        <x:v>https://graph.microsoft.com/v1.0/me/drive/items/01DHXXN7YJMCJUVPBWNJEJPJIH7B4OTAUR#page=3</x:v>
      </x:c>
      <x:c r="V4" s="17" t="str">
        <x:v>https://graph.microsoft.com/v1.0/me/drive/items/01DHXXN7YJMCJUVPBWNJEJPJIH7B4OTAUR</x:v>
      </x:c>
      <x:c r="W4" s="17" t="str">
        <x:v>bd60b3308119f2f17c39bed3fe2195305978fd69551617058030a722c9012948</x:v>
      </x:c>
      <x:c r="X4" s="17" t="str">
        <x:v>SKU no publicado; se conserva una identidad técnica estable.</x:v>
      </x:c>
    </x:row>
    <x:row r="5" ht="34" customHeight="1">
      <x:c r="A5" s="17" t="str">
        <x:v>IDÉLIKA</x:v>
      </x:c>
      <x:c r="B5" s="17" t="str">
        <x:v>Fabricacion</x:v>
      </x:c>
      <x:c r="C5" s="17" t="str">
        <x:v>1 CATALOGO FABRICACION 2026B.pdf</x:v>
      </x:c>
      <x:c r="D5" s="21" t="n">
        <x:v>3</x:v>
      </x:c>
      <x:c r="E5" s="17" t="str">
        <x:v>idelika:fabricacion:sin-sku:68e33fdd3221d49ac65c</x:v>
      </x:c>
      <x:c r="F5" s="17"/>
      <x:c r="G5" s="22" t="str">
        <x:v>por_verificar</x:v>
      </x:c>
      <x:c r="H5" s="17" t="str">
        <x:v>Mesa comedor Kuro</x:v>
      </x:c>
      <x:c r="I5" s="17" t="str">
        <x:v>Wabi</x:v>
      </x:c>
      <x:c r="J5" s="17"/>
      <x:c r="K5" s="17" t="str">
        <x:v>Madera de Rosa morada</x:v>
      </x:c>
      <x:c r="L5" s="17" t="str">
        <x:v>140*140*75 alto</x:v>
      </x:c>
      <x:c r="M5" s="17" t="str">
        <x:v>140*140*75 alto Madera de Rosa morada</x:v>
      </x:c>
      <x:c r="N5" s="22" t="str">
        <x:v>pieza</x:v>
      </x:c>
      <x:c r="O5" s="23" t="n">
        <x:v>17990</x:v>
      </x:c>
      <x:c r="P5" s="23" t="n">
        <x:v>19990</x:v>
      </x:c>
      <x:c r="Q5" s="17" t="str">
        <x:v>$19,990 – $17,990</x:v>
      </x:c>
      <x:c r="R5" s="22" t="str">
        <x:v>confirmado</x:v>
      </x:c>
      <x:c r="S5" s="22" t="str">
        <x:v>Sí</x:v>
      </x:c>
      <x:c r="T5" s="24"/>
      <x:c r="U5" s="17" t="str">
        <x:v>https://graph.microsoft.com/v1.0/me/drive/items/01DHXXN7YJMCJUVPBWNJEJPJIH7B4OTAUR#page=3</x:v>
      </x:c>
      <x:c r="V5" s="17" t="str">
        <x:v>https://graph.microsoft.com/v1.0/me/drive/items/01DHXXN7YJMCJUVPBWNJEJPJIH7B4OTAUR</x:v>
      </x:c>
      <x:c r="W5" s="17" t="str">
        <x:v>68e33fdd3221d49ac65c69e252887a53d6ab7b7a9f5a6294614ee66e75944925</x:v>
      </x:c>
      <x:c r="X5" s="17" t="str">
        <x:v>SKU no publicado; se conserva una identidad técnica estable.</x:v>
      </x:c>
    </x:row>
    <x:row r="6" ht="34" customHeight="1">
      <x:c r="A6" s="17" t="str">
        <x:v>IDÉLIKA</x:v>
      </x:c>
      <x:c r="B6" s="17" t="str">
        <x:v>Fabricacion</x:v>
      </x:c>
      <x:c r="C6" s="17" t="str">
        <x:v>1 CATALOGO FABRICACION 2026B.pdf</x:v>
      </x:c>
      <x:c r="D6" s="21" t="n">
        <x:v>3</x:v>
      </x:c>
      <x:c r="E6" s="17" t="str">
        <x:v>idelika:fabricacion:sin-sku:094651231b4e3b1b7d09</x:v>
      </x:c>
      <x:c r="F6" s="17"/>
      <x:c r="G6" s="22" t="str">
        <x:v>por_verificar</x:v>
      </x:c>
      <x:c r="H6" s="17" t="str">
        <x:v>Silla Kuro</x:v>
      </x:c>
      <x:c r="I6" s="17" t="str">
        <x:v>Wabi</x:v>
      </x:c>
      <x:c r="J6" s="17"/>
      <x:c r="K6" s="17" t="str">
        <x:v>Madera rosa morada, tela y rattan</x:v>
      </x:c>
      <x:c r="L6" s="17" t="str">
        <x:v>55*47*79 alto</x:v>
      </x:c>
      <x:c r="M6" s="17" t="str">
        <x:v>Madera rosa morada, tela y rattan 55*47*79 alto Wabi</x:v>
      </x:c>
      <x:c r="N6" s="22" t="str">
        <x:v>pieza</x:v>
      </x:c>
      <x:c r="O6" s="23" t="n">
        <x:v>6990</x:v>
      </x:c>
      <x:c r="P6" s="23" t="n">
        <x:v>7990</x:v>
      </x:c>
      <x:c r="Q6" s="17" t="str">
        <x:v>$7,990 – $6,990</x:v>
      </x:c>
      <x:c r="R6" s="22" t="str">
        <x:v>confirmado</x:v>
      </x:c>
      <x:c r="S6" s="22" t="str">
        <x:v>Sí</x:v>
      </x:c>
      <x:c r="T6" s="24"/>
      <x:c r="U6" s="17" t="str">
        <x:v>https://graph.microsoft.com/v1.0/me/drive/items/01DHXXN7YJMCJUVPBWNJEJPJIH7B4OTAUR#page=3</x:v>
      </x:c>
      <x:c r="V6" s="17" t="str">
        <x:v>https://graph.microsoft.com/v1.0/me/drive/items/01DHXXN7YJMCJUVPBWNJEJPJIH7B4OTAUR</x:v>
      </x:c>
      <x:c r="W6" s="17" t="str">
        <x:v>094651231b4e3b1b7d0948882bd4d042c5a93ad1d62a745f24bcd1ecaf36b546</x:v>
      </x:c>
      <x:c r="X6" s="17" t="str">
        <x:v>SKU no publicado; se conserva una identidad técnica estable.</x:v>
      </x:c>
    </x:row>
    <x:row r="7" ht="34" customHeight="1">
      <x:c r="A7" s="17" t="str">
        <x:v>IDÉLIKA</x:v>
      </x:c>
      <x:c r="B7" s="17" t="str">
        <x:v>Fabricacion</x:v>
      </x:c>
      <x:c r="C7" s="17" t="str">
        <x:v>1 CATALOGO FABRICACION 2026B.pdf</x:v>
      </x:c>
      <x:c r="D7" s="21" t="n">
        <x:v>4</x:v>
      </x:c>
      <x:c r="E7" s="17" t="str">
        <x:v>idelika:fabricacion:sin-sku:a4db58fc105ead163c27</x:v>
      </x:c>
      <x:c r="F7" s="17"/>
      <x:c r="G7" s="22" t="str">
        <x:v>por_verificar</x:v>
      </x:c>
      <x:c r="H7" s="17" t="str">
        <x:v>Morelia silla</x:v>
      </x:c>
      <x:c r="I7" s="17" t="str">
        <x:v>Morelia</x:v>
      </x:c>
      <x:c r="J7" s="17"/>
      <x:c r="K7" s="17" t="str">
        <x:v>Madera de Rosa morada Y cuerda de multifilamento</x:v>
      </x:c>
      <x:c r="L7" s="17"/>
      <x:c r="M7" s="17" t="str">
        <x:v>Madera de Rosa morada Y cuerda de multifilamento</x:v>
      </x:c>
      <x:c r="N7" s="22" t="str">
        <x:v>pieza</x:v>
      </x:c>
      <x:c r="O7" s="23" t="n">
        <x:v>5990</x:v>
      </x:c>
      <x:c r="P7" s="23" t="n">
        <x:v>6990</x:v>
      </x:c>
      <x:c r="Q7" s="17" t="str">
        <x:v>$6,990 – $5,990</x:v>
      </x:c>
      <x:c r="R7" s="22" t="str">
        <x:v>confirmado</x:v>
      </x:c>
      <x:c r="S7" s="22" t="str">
        <x:v>Sí</x:v>
      </x:c>
      <x:c r="T7" s="24"/>
      <x:c r="U7" s="17" t="str">
        <x:v>https://graph.microsoft.com/v1.0/me/drive/items/01DHXXN7YJMCJUVPBWNJEJPJIH7B4OTAUR#page=4</x:v>
      </x:c>
      <x:c r="V7" s="17" t="str">
        <x:v>https://graph.microsoft.com/v1.0/me/drive/items/01DHXXN7YJMCJUVPBWNJEJPJIH7B4OTAUR</x:v>
      </x:c>
      <x:c r="W7" s="17" t="str">
        <x:v>a4db58fc105ead163c279e3e999e3a12cd84da960826310789b8e8aa3c36857c</x:v>
      </x:c>
      <x:c r="X7" s="17" t="str">
        <x:v>SKU no publicado; se conserva una identidad técnica estable.</x:v>
      </x:c>
    </x:row>
    <x:row r="8" ht="34" customHeight="1">
      <x:c r="A8" s="17" t="str">
        <x:v>IDÉLIKA</x:v>
      </x:c>
      <x:c r="B8" s="17" t="str">
        <x:v>Fabricacion</x:v>
      </x:c>
      <x:c r="C8" s="17" t="str">
        <x:v>1 CATALOGO FABRICACION 2026B.pdf</x:v>
      </x:c>
      <x:c r="D8" s="21" t="n">
        <x:v>4</x:v>
      </x:c>
      <x:c r="E8" s="17" t="str">
        <x:v>idelika:fabricacion:sin-sku:3309f726dcf5799396ee</x:v>
      </x:c>
      <x:c r="F8" s="17"/>
      <x:c r="G8" s="22" t="str">
        <x:v>por_verificar</x:v>
      </x:c>
      <x:c r="H8" s="17" t="str">
        <x:v>Morelia Banco</x:v>
      </x:c>
      <x:c r="I8" s="17" t="str">
        <x:v>Morelia</x:v>
      </x:c>
      <x:c r="J8" s="17"/>
      <x:c r="K8" s="17" t="str">
        <x:v>Madera de Rosa morada Y cuerda de multifilamento</x:v>
      </x:c>
      <x:c r="L8" s="17"/>
      <x:c r="M8" s="17" t="str">
        <x:v>Madera de Rosa morada Y cuerda de multifilamento</x:v>
      </x:c>
      <x:c r="N8" s="22" t="str">
        <x:v>pieza</x:v>
      </x:c>
      <x:c r="O8" s="23" t="n">
        <x:v>6990</x:v>
      </x:c>
      <x:c r="P8" s="23" t="n">
        <x:v>7990</x:v>
      </x:c>
      <x:c r="Q8" s="17" t="str">
        <x:v>$7,990 – $6,990</x:v>
      </x:c>
      <x:c r="R8" s="22" t="str">
        <x:v>confirmado</x:v>
      </x:c>
      <x:c r="S8" s="22" t="str">
        <x:v>Sí</x:v>
      </x:c>
      <x:c r="T8" s="24"/>
      <x:c r="U8" s="17" t="str">
        <x:v>https://graph.microsoft.com/v1.0/me/drive/items/01DHXXN7YJMCJUVPBWNJEJPJIH7B4OTAUR#page=4</x:v>
      </x:c>
      <x:c r="V8" s="17" t="str">
        <x:v>https://graph.microsoft.com/v1.0/me/drive/items/01DHXXN7YJMCJUVPBWNJEJPJIH7B4OTAUR</x:v>
      </x:c>
      <x:c r="W8" s="17" t="str">
        <x:v>3309f726dcf5799396ee9943cac54337f0bdce37591b0e765adf8f757337bf45</x:v>
      </x:c>
      <x:c r="X8" s="17" t="str">
        <x:v>SKU no publicado; se conserva una identidad técnica estable.</x:v>
      </x:c>
    </x:row>
    <x:row r="9" ht="34" customHeight="1">
      <x:c r="A9" s="17" t="str">
        <x:v>IDÉLIKA</x:v>
      </x:c>
      <x:c r="B9" s="17" t="str">
        <x:v>Fabricacion</x:v>
      </x:c>
      <x:c r="C9" s="17" t="str">
        <x:v>1 CATALOGO FABRICACION 2026B.pdf</x:v>
      </x:c>
      <x:c r="D9" s="21" t="n">
        <x:v>4</x:v>
      </x:c>
      <x:c r="E9" s="17" t="str">
        <x:v>idelika:fabricacion:sin-sku:ad507c2b75e614703c6e</x:v>
      </x:c>
      <x:c r="F9" s="17"/>
      <x:c r="G9" s="22" t="str">
        <x:v>por_verificar</x:v>
      </x:c>
      <x:c r="H9" s="17" t="str">
        <x:v>Morelia mesa alta</x:v>
      </x:c>
      <x:c r="I9" s="17" t="str">
        <x:v>Morelia</x:v>
      </x:c>
      <x:c r="J9" s="17"/>
      <x:c r="K9" s="17" t="str">
        <x:v>Madera de Rosa morada</x:v>
      </x:c>
      <x:c r="L9" s="17" t="str">
        <x:v>90*60*110 alto</x:v>
      </x:c>
      <x:c r="M9" s="17" t="str">
        <x:v>90*60*110 alto Madera de Rosa morada</x:v>
      </x:c>
      <x:c r="N9" s="22" t="str">
        <x:v>pieza</x:v>
      </x:c>
      <x:c r="O9" s="23" t="n">
        <x:v>6990</x:v>
      </x:c>
      <x:c r="P9" s="23" t="n">
        <x:v>8790</x:v>
      </x:c>
      <x:c r="Q9" s="17" t="str">
        <x:v>$8,790 – $6,990</x:v>
      </x:c>
      <x:c r="R9" s="22" t="str">
        <x:v>confirmado</x:v>
      </x:c>
      <x:c r="S9" s="22" t="str">
        <x:v>Sí</x:v>
      </x:c>
      <x:c r="T9" s="24"/>
      <x:c r="U9" s="17" t="str">
        <x:v>https://graph.microsoft.com/v1.0/me/drive/items/01DHXXN7YJMCJUVPBWNJEJPJIH7B4OTAUR#page=4</x:v>
      </x:c>
      <x:c r="V9" s="17" t="str">
        <x:v>https://graph.microsoft.com/v1.0/me/drive/items/01DHXXN7YJMCJUVPBWNJEJPJIH7B4OTAUR</x:v>
      </x:c>
      <x:c r="W9" s="17" t="str">
        <x:v>ad507c2b75e614703c6e2803ff4f297dec69665318837834590843d18f558dc6</x:v>
      </x:c>
      <x:c r="X9" s="17" t="str">
        <x:v>SKU no publicado; se conserva una identidad técnica estable.</x:v>
      </x:c>
    </x:row>
    <x:row r="10" ht="34" customHeight="1">
      <x:c r="A10" s="17" t="str">
        <x:v>IDÉLIKA</x:v>
      </x:c>
      <x:c r="B10" s="17" t="str">
        <x:v>Fabricacion</x:v>
      </x:c>
      <x:c r="C10" s="17" t="str">
        <x:v>1 CATALOGO FABRICACION 2026B.pdf</x:v>
      </x:c>
      <x:c r="D10" s="21" t="n">
        <x:v>4</x:v>
      </x:c>
      <x:c r="E10" s="17" t="str">
        <x:v>idelika:fabricacion:sin-sku:1b3d0125a073f8110ea6</x:v>
      </x:c>
      <x:c r="F10" s="17"/>
      <x:c r="G10" s="22" t="str">
        <x:v>por_verificar</x:v>
      </x:c>
      <x:c r="H10" s="17" t="str">
        <x:v>Cosm tapete</x:v>
      </x:c>
      <x:c r="I10" s="17" t="str">
        <x:v>Morelia</x:v>
      </x:c>
      <x:c r="J10" s="17"/>
      <x:c r="K10" s="17"/>
      <x:c r="L10" s="17" t="str">
        <x:v>150 diámetro</x:v>
      </x:c>
      <x:c r="M10" s="17" t="str">
        <x:v>Fibras naturales 150 diámetro</x:v>
      </x:c>
      <x:c r="N10" s="22" t="str">
        <x:v>pieza</x:v>
      </x:c>
      <x:c r="O10" s="23" t="n">
        <x:v>3990</x:v>
      </x:c>
      <x:c r="P10" s="23" t="n">
        <x:v>4990</x:v>
      </x:c>
      <x:c r="Q10" s="17" t="str">
        <x:v>$4,990 – $3,990</x:v>
      </x:c>
      <x:c r="R10" s="22" t="str">
        <x:v>confirmado</x:v>
      </x:c>
      <x:c r="S10" s="22" t="str">
        <x:v>Sí</x:v>
      </x:c>
      <x:c r="T10" s="24"/>
      <x:c r="U10" s="17" t="str">
        <x:v>https://graph.microsoft.com/v1.0/me/drive/items/01DHXXN7YJMCJUVPBWNJEJPJIH7B4OTAUR#page=4</x:v>
      </x:c>
      <x:c r="V10" s="17" t="str">
        <x:v>https://graph.microsoft.com/v1.0/me/drive/items/01DHXXN7YJMCJUVPBWNJEJPJIH7B4OTAUR</x:v>
      </x:c>
      <x:c r="W10" s="17" t="str">
        <x:v>1b3d0125a073f8110ea6ac6c7bc971bdebdb934903141b2d6507027effa1b1e9</x:v>
      </x:c>
      <x:c r="X10" s="17" t="str">
        <x:v>SKU no publicado; se conserva una identidad técnica estable.</x:v>
      </x:c>
    </x:row>
    <x:row r="11" ht="34" customHeight="1">
      <x:c r="A11" s="17" t="str">
        <x:v>IDÉLIKA</x:v>
      </x:c>
      <x:c r="B11" s="17" t="str">
        <x:v>Fabricacion</x:v>
      </x:c>
      <x:c r="C11" s="17" t="str">
        <x:v>1 CATALOGO FABRICACION 2026B.pdf</x:v>
      </x:c>
      <x:c r="D11" s="21" t="n">
        <x:v>4</x:v>
      </x:c>
      <x:c r="E11" s="17" t="str">
        <x:v>idelika:fabricacion:sin-sku:1d356a7580a5c14b5021</x:v>
      </x:c>
      <x:c r="F11" s="17"/>
      <x:c r="G11" s="22" t="str">
        <x:v>por_verificar</x:v>
      </x:c>
      <x:c r="H11" s="17" t="str">
        <x:v>Morelia pantalla</x:v>
      </x:c>
      <x:c r="I11" s="17" t="str">
        <x:v>Morelia</x:v>
      </x:c>
      <x:c r="J11" s="17"/>
      <x:c r="K11" s="17"/>
      <x:c r="L11" s="17" t="str">
        <x:v>50 diámetro</x:v>
      </x:c>
      <x:c r="M11" s="17" t="str">
        <x:v>Fibras naturales 50 diámetro</x:v>
      </x:c>
      <x:c r="N11" s="22" t="str">
        <x:v>pieza</x:v>
      </x:c>
      <x:c r="O11" s="23" t="n">
        <x:v>3990</x:v>
      </x:c>
      <x:c r="P11" s="23" t="n">
        <x:v>4990</x:v>
      </x:c>
      <x:c r="Q11" s="17" t="str">
        <x:v>$4,990 – $3,990</x:v>
      </x:c>
      <x:c r="R11" s="22" t="str">
        <x:v>confirmado</x:v>
      </x:c>
      <x:c r="S11" s="22" t="str">
        <x:v>Sí</x:v>
      </x:c>
      <x:c r="T11" s="24"/>
      <x:c r="U11" s="17" t="str">
        <x:v>https://graph.microsoft.com/v1.0/me/drive/items/01DHXXN7YJMCJUVPBWNJEJPJIH7B4OTAUR#page=4</x:v>
      </x:c>
      <x:c r="V11" s="17" t="str">
        <x:v>https://graph.microsoft.com/v1.0/me/drive/items/01DHXXN7YJMCJUVPBWNJEJPJIH7B4OTAUR</x:v>
      </x:c>
      <x:c r="W11" s="17" t="str">
        <x:v>1d356a7580a5c14b502109306f131f88effa4f8978905165fb3d1380b3612e21</x:v>
      </x:c>
      <x:c r="X11" s="17" t="str">
        <x:v>SKU no publicado; se conserva una identidad técnica estable.</x:v>
      </x:c>
    </x:row>
    <x:row r="12" ht="34" customHeight="1">
      <x:c r="A12" s="17" t="str">
        <x:v>IDÉLIKA</x:v>
      </x:c>
      <x:c r="B12" s="17" t="str">
        <x:v>Fabricacion</x:v>
      </x:c>
      <x:c r="C12" s="17" t="str">
        <x:v>1 CATALOGO FABRICACION 2026B.pdf</x:v>
      </x:c>
      <x:c r="D12" s="21" t="n">
        <x:v>5</x:v>
      </x:c>
      <x:c r="E12" s="17" t="str">
        <x:v>idelika:fabricacion:sin-sku:5e573adb4b441293856e</x:v>
      </x:c>
      <x:c r="F12" s="17"/>
      <x:c r="G12" s="22" t="str">
        <x:v>por_verificar</x:v>
      </x:c>
      <x:c r="H12" s="17" t="str">
        <x:v>Mesa comedor Irune</x:v>
      </x:c>
      <x:c r="I12" s="17"/>
      <x:c r="J12" s="17"/>
      <x:c r="K12" s="17" t="str">
        <x:v>Madera de teka</x:v>
      </x:c>
      <x:c r="L12" s="17" t="str">
        <x:v>120*120*75 alto</x:v>
      </x:c>
      <x:c r="M12" s="17" t="str">
        <x:v>120*120*75 alto Madera de teka</x:v>
      </x:c>
      <x:c r="N12" s="22" t="str">
        <x:v>pieza</x:v>
      </x:c>
      <x:c r="O12" s="23" t="n">
        <x:v>19990</x:v>
      </x:c>
      <x:c r="P12" s="23" t="n">
        <x:v>20990</x:v>
      </x:c>
      <x:c r="Q12" s="17" t="str">
        <x:v>$20,990 – $19,990 Mesa</x:v>
      </x:c>
      <x:c r="R12" s="22" t="str">
        <x:v>confirmado</x:v>
      </x:c>
      <x:c r="S12" s="22" t="str">
        <x:v>Sí</x:v>
      </x:c>
      <x:c r="T12" s="24"/>
      <x:c r="U12" s="17" t="str">
        <x:v>https://graph.microsoft.com/v1.0/me/drive/items/01DHXXN7YJMCJUVPBWNJEJPJIH7B4OTAUR#page=5</x:v>
      </x:c>
      <x:c r="V12" s="17" t="str">
        <x:v>https://graph.microsoft.com/v1.0/me/drive/items/01DHXXN7YJMCJUVPBWNJEJPJIH7B4OTAUR</x:v>
      </x:c>
      <x:c r="W12" s="17" t="str">
        <x:v>5e573adb4b441293856edafc21e10754291b146c5a2b421cc55844db4f0d8c12</x:v>
      </x:c>
      <x:c r="X12" s="17" t="str">
        <x:v>SKU no publicado; se conserva una identidad técnica estable.</x:v>
      </x:c>
    </x:row>
    <x:row r="13" ht="34" customHeight="1">
      <x:c r="A13" s="17" t="str">
        <x:v>IDÉLIKA</x:v>
      </x:c>
      <x:c r="B13" s="17" t="str">
        <x:v>Fabricacion</x:v>
      </x:c>
      <x:c r="C13" s="17" t="str">
        <x:v>1 CATALOGO FABRICACION 2026B.pdf</x:v>
      </x:c>
      <x:c r="D13" s="21" t="n">
        <x:v>5</x:v>
      </x:c>
      <x:c r="E13" s="17" t="str">
        <x:v>idelika:fabricacion:sin-sku:e80c0b0dcd9d8b3a5184</x:v>
      </x:c>
      <x:c r="F13" s="17"/>
      <x:c r="G13" s="22" t="str">
        <x:v>por_verificar</x:v>
      </x:c>
      <x:c r="H13" s="17" t="str">
        <x:v>Silla Veracruz</x:v>
      </x:c>
      <x:c r="I13" s="17"/>
      <x:c r="J13" s="17"/>
      <x:c r="K13" s="17" t="str">
        <x:v>Madera de teka</x:v>
      </x:c>
      <x:c r="L13" s="17"/>
      <x:c r="M13" s="17" t="str">
        <x:v>120*120*75 alto Madera de teka</x:v>
      </x:c>
      <x:c r="N13" s="22" t="str">
        <x:v>pieza</x:v>
      </x:c>
      <x:c r="O13" s="23" t="n">
        <x:v>5990</x:v>
      </x:c>
      <x:c r="P13" s="23" t="n">
        <x:v>7990</x:v>
      </x:c>
      <x:c r="Q13" s="17" t="str">
        <x:v>$7,990 – $5,990 Silla</x:v>
      </x:c>
      <x:c r="R13" s="22" t="str">
        <x:v>confirmado</x:v>
      </x:c>
      <x:c r="S13" s="22" t="str">
        <x:v>Sí</x:v>
      </x:c>
      <x:c r="T13" s="24"/>
      <x:c r="U13" s="17" t="str">
        <x:v>https://graph.microsoft.com/v1.0/me/drive/items/01DHXXN7YJMCJUVPBWNJEJPJIH7B4OTAUR#page=5</x:v>
      </x:c>
      <x:c r="V13" s="17" t="str">
        <x:v>https://graph.microsoft.com/v1.0/me/drive/items/01DHXXN7YJMCJUVPBWNJEJPJIH7B4OTAUR</x:v>
      </x:c>
      <x:c r="W13" s="17" t="str">
        <x:v>e80c0b0dcd9d8b3a5184ed181237fc700f2a210793854ef2a7dad95c0b4a3da3</x:v>
      </x:c>
      <x:c r="X13" s="17" t="str">
        <x:v>SKU no publicado; se conserva una identidad técnica estable.</x:v>
      </x:c>
    </x:row>
    <x:row r="14" ht="34" customHeight="1">
      <x:c r="A14" s="17" t="str">
        <x:v>IDÉLIKA</x:v>
      </x:c>
      <x:c r="B14" s="17" t="str">
        <x:v>Fabricacion</x:v>
      </x:c>
      <x:c r="C14" s="17" t="str">
        <x:v>1 CATALOGO FABRICACION 2026B.pdf</x:v>
      </x:c>
      <x:c r="D14" s="21" t="n">
        <x:v>5</x:v>
      </x:c>
      <x:c r="E14" s="17" t="str">
        <x:v>idelika:fabricacion:sin-sku:01171abc0f73f1e058c8</x:v>
      </x:c>
      <x:c r="F14" s="17"/>
      <x:c r="G14" s="22" t="str">
        <x:v>por_verificar</x:v>
      </x:c>
      <x:c r="H14" s="17" t="str">
        <x:v>Tulum sofá cama</x:v>
      </x:c>
      <x:c r="I14" s="17"/>
      <x:c r="J14" s="17"/>
      <x:c r="K14" s="17"/>
      <x:c r="L14" s="17" t="str">
        <x:v>230*115*80</x:v>
      </x:c>
      <x:c r="M14" s="17" t="str">
        <x:v>Color a elegir 230*115*80 Precios disponibles en www.idelika.com</x:v>
      </x:c>
      <x:c r="N14" s="22" t="str">
        <x:v>pieza</x:v>
      </x:c>
      <x:c r="O14" s="23"/>
      <x:c r="P14" s="23"/>
      <x:c r="Q14" s="17" t="str">
        <x:v>Precios disponibles en www.idelika.com</x:v>
      </x:c>
      <x:c r="R14" s="22" t="str">
        <x:v>por_confirmar</x:v>
      </x:c>
      <x:c r="S14" s="22" t="str">
        <x:v>Sí</x:v>
      </x:c>
      <x:c r="T14" s="24"/>
      <x:c r="U14" s="17" t="str">
        <x:v>https://graph.microsoft.com/v1.0/me/drive/items/01DHXXN7YJMCJUVPBWNJEJPJIH7B4OTAUR#page=5</x:v>
      </x:c>
      <x:c r="V14" s="17" t="str">
        <x:v>https://graph.microsoft.com/v1.0/me/drive/items/01DHXXN7YJMCJUVPBWNJEJPJIH7B4OTAUR</x:v>
      </x:c>
      <x:c r="W14" s="17" t="str">
        <x:v>01171abc0f73f1e058c82445d7f013c885cf27a5550cf72e691dead7105cc12b</x:v>
      </x:c>
      <x:c r="X14" s="17" t="str">
        <x:v>SKU no publicado; se conserva una identidad técnica estable. Precio por confirmar.</x:v>
      </x:c>
    </x:row>
    <x:row r="15" ht="34" customHeight="1">
      <x:c r="A15" s="17" t="str">
        <x:v>IDÉLIKA</x:v>
      </x:c>
      <x:c r="B15" s="17" t="str">
        <x:v>Fabricacion</x:v>
      </x:c>
      <x:c r="C15" s="17" t="str">
        <x:v>1 CATALOGO FABRICACION 2026B.pdf</x:v>
      </x:c>
      <x:c r="D15" s="21" t="n">
        <x:v>6</x:v>
      </x:c>
      <x:c r="E15" s="17" t="str">
        <x:v>idelika:fabricacion:sin-sku:d1657d85b9c5e16b9a02</x:v>
      </x:c>
      <x:c r="F15" s="17"/>
      <x:c r="G15" s="22" t="str">
        <x:v>por_verificar</x:v>
      </x:c>
      <x:c r="H15" s="17" t="str">
        <x:v>Recámara KS Wabi</x:v>
      </x:c>
      <x:c r="I15" s="17"/>
      <x:c r="J15" s="17"/>
      <x:c r="K15" s="17" t="str">
        <x:v>Madera de Rosa morada</x:v>
      </x:c>
      <x:c r="L15" s="17"/>
      <x:c r="M15" s="17" t="str">
        <x:v>Madera de Rosa morada</x:v>
      </x:c>
      <x:c r="N15" s="22" t="str">
        <x:v>pieza</x:v>
      </x:c>
      <x:c r="O15" s="23" t="n">
        <x:v>16990</x:v>
      </x:c>
      <x:c r="P15" s="23" t="n">
        <x:v>19990</x:v>
      </x:c>
      <x:c r="Q15" s="17" t="str">
        <x:v>$19,990 – $16,990</x:v>
      </x:c>
      <x:c r="R15" s="22" t="str">
        <x:v>confirmado</x:v>
      </x:c>
      <x:c r="S15" s="22" t="str">
        <x:v>Sí</x:v>
      </x:c>
      <x:c r="T15" s="24"/>
      <x:c r="U15" s="17" t="str">
        <x:v>https://graph.microsoft.com/v1.0/me/drive/items/01DHXXN7YJMCJUVPBWNJEJPJIH7B4OTAUR#page=6</x:v>
      </x:c>
      <x:c r="V15" s="17" t="str">
        <x:v>https://graph.microsoft.com/v1.0/me/drive/items/01DHXXN7YJMCJUVPBWNJEJPJIH7B4OTAUR</x:v>
      </x:c>
      <x:c r="W15" s="17" t="str">
        <x:v>d1657d85b9c5e16b9a0214ac85994ebfe3e66cb783ad959b7cdf9c4623f129c4</x:v>
      </x:c>
      <x:c r="X15" s="17" t="str">
        <x:v>SKU no publicado; se conserva una identidad técnica estable.</x:v>
      </x:c>
    </x:row>
    <x:row r="16" ht="34" customHeight="1">
      <x:c r="A16" s="17" t="str">
        <x:v>IDÉLIKA</x:v>
      </x:c>
      <x:c r="B16" s="17" t="str">
        <x:v>Fabricacion</x:v>
      </x:c>
      <x:c r="C16" s="17" t="str">
        <x:v>1 CATALOGO FABRICACION 2026B.pdf</x:v>
      </x:c>
      <x:c r="D16" s="21" t="n">
        <x:v>6</x:v>
      </x:c>
      <x:c r="E16" s="17" t="str">
        <x:v>idelika:fabricacion:sin-sku:e9dece9dd51356c48199</x:v>
      </x:c>
      <x:c r="F16" s="17"/>
      <x:c r="G16" s="22" t="str">
        <x:v>por_verificar</x:v>
      </x:c>
      <x:c r="H16" s="17" t="str">
        <x:v>Recámara QS Wabi</x:v>
      </x:c>
      <x:c r="I16" s="17"/>
      <x:c r="J16" s="17"/>
      <x:c r="K16" s="17" t="str">
        <x:v>Madera de Rosa morada</x:v>
      </x:c>
      <x:c r="L16" s="17"/>
      <x:c r="M16" s="17" t="str">
        <x:v>Madera de Rosa morada</x:v>
      </x:c>
      <x:c r="N16" s="22" t="str">
        <x:v>pieza</x:v>
      </x:c>
      <x:c r="O16" s="23" t="n">
        <x:v>15990</x:v>
      </x:c>
      <x:c r="P16" s="23" t="n">
        <x:v>18990</x:v>
      </x:c>
      <x:c r="Q16" s="17" t="str">
        <x:v>$18,990 – $15,990</x:v>
      </x:c>
      <x:c r="R16" s="22" t="str">
        <x:v>confirmado</x:v>
      </x:c>
      <x:c r="S16" s="22" t="str">
        <x:v>Sí</x:v>
      </x:c>
      <x:c r="T16" s="24"/>
      <x:c r="U16" s="17" t="str">
        <x:v>https://graph.microsoft.com/v1.0/me/drive/items/01DHXXN7YJMCJUVPBWNJEJPJIH7B4OTAUR#page=6</x:v>
      </x:c>
      <x:c r="V16" s="17" t="str">
        <x:v>https://graph.microsoft.com/v1.0/me/drive/items/01DHXXN7YJMCJUVPBWNJEJPJIH7B4OTAUR</x:v>
      </x:c>
      <x:c r="W16" s="17" t="str">
        <x:v>e9dece9dd51356c48199a82628510ce6646e3d0958dd424fd6e9e1d3d26137ff</x:v>
      </x:c>
      <x:c r="X16" s="17" t="str">
        <x:v>SKU no publicado; se conserva una identidad técnica estable.</x:v>
      </x:c>
    </x:row>
    <x:row r="17" ht="34" customHeight="1">
      <x:c r="A17" s="17" t="str">
        <x:v>IDÉLIKA</x:v>
      </x:c>
      <x:c r="B17" s="17" t="str">
        <x:v>Fabricacion</x:v>
      </x:c>
      <x:c r="C17" s="17" t="str">
        <x:v>1 CATALOGO FABRICACION 2026B.pdf</x:v>
      </x:c>
      <x:c r="D17" s="21" t="n">
        <x:v>6</x:v>
      </x:c>
      <x:c r="E17" s="17" t="str">
        <x:v>idelika:fabricacion:sin-sku:fc7f9d2d62998d88d2bb</x:v>
      </x:c>
      <x:c r="F17" s="17"/>
      <x:c r="G17" s="22" t="str">
        <x:v>por_verificar</x:v>
      </x:c>
      <x:c r="H17" s="17" t="str">
        <x:v>Buró Wabi</x:v>
      </x:c>
      <x:c r="I17" s="17"/>
      <x:c r="J17" s="17"/>
      <x:c r="K17" s="17" t="str">
        <x:v>Madera de Rosa morada</x:v>
      </x:c>
      <x:c r="L17" s="17" t="str">
        <x:v>40*40*55 alto</x:v>
      </x:c>
      <x:c r="M17" s="17" t="str">
        <x:v>40*40*55 alto Madera de Rosa morada</x:v>
      </x:c>
      <x:c r="N17" s="22" t="str">
        <x:v>pieza</x:v>
      </x:c>
      <x:c r="O17" s="23" t="n">
        <x:v>4990</x:v>
      </x:c>
      <x:c r="P17" s="23" t="n">
        <x:v>5790</x:v>
      </x:c>
      <x:c r="Q17" s="17" t="str">
        <x:v>$5,790 – $4,990</x:v>
      </x:c>
      <x:c r="R17" s="22" t="str">
        <x:v>confirmado</x:v>
      </x:c>
      <x:c r="S17" s="22" t="str">
        <x:v>Sí</x:v>
      </x:c>
      <x:c r="T17" s="24"/>
      <x:c r="U17" s="17" t="str">
        <x:v>https://graph.microsoft.com/v1.0/me/drive/items/01DHXXN7YJMCJUVPBWNJEJPJIH7B4OTAUR#page=6</x:v>
      </x:c>
      <x:c r="V17" s="17" t="str">
        <x:v>https://graph.microsoft.com/v1.0/me/drive/items/01DHXXN7YJMCJUVPBWNJEJPJIH7B4OTAUR</x:v>
      </x:c>
      <x:c r="W17" s="17" t="str">
        <x:v>fc7f9d2d62998d88d2bbfa14eda09d7683aa7ff4d0c9965d77b65c38ecea3f36</x:v>
      </x:c>
      <x:c r="X17" s="17" t="str">
        <x:v>SKU no publicado; se conserva una identidad técnica estable.</x:v>
      </x:c>
    </x:row>
    <x:row r="18" ht="34" customHeight="1">
      <x:c r="A18" s="17" t="str">
        <x:v>IDÉLIKA</x:v>
      </x:c>
      <x:c r="B18" s="17" t="str">
        <x:v>Fabricacion</x:v>
      </x:c>
      <x:c r="C18" s="17" t="str">
        <x:v>1 CATALOGO FABRICACION 2026B.pdf</x:v>
      </x:c>
      <x:c r="D18" s="21" t="n">
        <x:v>6</x:v>
      </x:c>
      <x:c r="E18" s="17" t="str">
        <x:v>idelika:fabricacion:sin-sku:0775c3483f21003f71a1</x:v>
      </x:c>
      <x:c r="F18" s="17"/>
      <x:c r="G18" s="22" t="str">
        <x:v>por_verificar</x:v>
      </x:c>
      <x:c r="H18" s="17" t="str">
        <x:v>Colchón memory</x:v>
      </x:c>
      <x:c r="I18" s="17"/>
      <x:c r="J18" s="17" t="str">
        <x:v>KS</x:v>
      </x:c>
      <x:c r="K18" s="17"/>
      <x:c r="L18" s="17"/>
      <x:c r="M18" s="17" t="str">
        <x:v>Opción canto recto</x:v>
      </x:c>
      <x:c r="N18" s="22" t="str">
        <x:v>pieza</x:v>
      </x:c>
      <x:c r="O18" s="23" t="n">
        <x:v>14990</x:v>
      </x:c>
      <x:c r="P18" s="23" t="n">
        <x:v>16990</x:v>
      </x:c>
      <x:c r="Q18" s="17" t="str">
        <x:v>$16,990 – $14,990 KS</x:v>
      </x:c>
      <x:c r="R18" s="22" t="str">
        <x:v>confirmado</x:v>
      </x:c>
      <x:c r="S18" s="22" t="str">
        <x:v>Sí</x:v>
      </x:c>
      <x:c r="T18" s="24"/>
      <x:c r="U18" s="17" t="str">
        <x:v>https://graph.microsoft.com/v1.0/me/drive/items/01DHXXN7YJMCJUVPBWNJEJPJIH7B4OTAUR#page=6</x:v>
      </x:c>
      <x:c r="V18" s="17" t="str">
        <x:v>https://graph.microsoft.com/v1.0/me/drive/items/01DHXXN7YJMCJUVPBWNJEJPJIH7B4OTAUR</x:v>
      </x:c>
      <x:c r="W18" s="17" t="str">
        <x:v>0775c3483f21003f71a17fb3005a0a31d68c77c69948e8ff23327da52e7e3dd0</x:v>
      </x:c>
      <x:c r="X18" s="17" t="str">
        <x:v>SKU no publicado; se conserva una identidad técnica estable.</x:v>
      </x:c>
    </x:row>
    <x:row r="19" ht="34" customHeight="1">
      <x:c r="A19" s="17" t="str">
        <x:v>IDÉLIKA</x:v>
      </x:c>
      <x:c r="B19" s="17" t="str">
        <x:v>Fabricacion</x:v>
      </x:c>
      <x:c r="C19" s="17" t="str">
        <x:v>1 CATALOGO FABRICACION 2026B.pdf</x:v>
      </x:c>
      <x:c r="D19" s="21" t="n">
        <x:v>6</x:v>
      </x:c>
      <x:c r="E19" s="17" t="str">
        <x:v>idelika:fabricacion:sin-sku:ada21f817da8f30f28c2</x:v>
      </x:c>
      <x:c r="F19" s="17"/>
      <x:c r="G19" s="22" t="str">
        <x:v>por_verificar</x:v>
      </x:c>
      <x:c r="H19" s="17" t="str">
        <x:v>Colchón memory</x:v>
      </x:c>
      <x:c r="I19" s="17"/>
      <x:c r="J19" s="17" t="str">
        <x:v>QS</x:v>
      </x:c>
      <x:c r="K19" s="17"/>
      <x:c r="L19" s="17"/>
      <x:c r="M19" s="17" t="str">
        <x:v>Opción canto recto</x:v>
      </x:c>
      <x:c r="N19" s="22" t="str">
        <x:v>pieza</x:v>
      </x:c>
      <x:c r="O19" s="23" t="n">
        <x:v>11990</x:v>
      </x:c>
      <x:c r="P19" s="23" t="n">
        <x:v>13990</x:v>
      </x:c>
      <x:c r="Q19" s="17" t="str">
        <x:v>$13,990 – $11,990 QS</x:v>
      </x:c>
      <x:c r="R19" s="22" t="str">
        <x:v>confirmado</x:v>
      </x:c>
      <x:c r="S19" s="22" t="str">
        <x:v>Sí</x:v>
      </x:c>
      <x:c r="T19" s="24"/>
      <x:c r="U19" s="17" t="str">
        <x:v>https://graph.microsoft.com/v1.0/me/drive/items/01DHXXN7YJMCJUVPBWNJEJPJIH7B4OTAUR#page=6</x:v>
      </x:c>
      <x:c r="V19" s="17" t="str">
        <x:v>https://graph.microsoft.com/v1.0/me/drive/items/01DHXXN7YJMCJUVPBWNJEJPJIH7B4OTAUR</x:v>
      </x:c>
      <x:c r="W19" s="17" t="str">
        <x:v>ada21f817da8f30f28c27824a48fdd5ee06f5ab520ca9409220c2fe06ec0ed90</x:v>
      </x:c>
      <x:c r="X19" s="17" t="str">
        <x:v>SKU no publicado; se conserva una identidad técnica estable.</x:v>
      </x:c>
    </x:row>
    <x:row r="20" ht="34" customHeight="1">
      <x:c r="A20" s="17" t="str">
        <x:v>IDÉLIKA</x:v>
      </x:c>
      <x:c r="B20" s="17" t="str">
        <x:v>Fabricacion</x:v>
      </x:c>
      <x:c r="C20" s="17" t="str">
        <x:v>1 CATALOGO FABRICACION 2026B.pdf</x:v>
      </x:c>
      <x:c r="D20" s="21" t="n">
        <x:v>7</x:v>
      </x:c>
      <x:c r="E20" s="17" t="str">
        <x:v>idelika:fabricacion:sin-sku:9660c83cf31ac1b18577</x:v>
      </x:c>
      <x:c r="F20" s="17"/>
      <x:c r="G20" s="22" t="str">
        <x:v>por_verificar</x:v>
      </x:c>
      <x:c r="H20" s="17" t="str">
        <x:v>Escritorio Wabi</x:v>
      </x:c>
      <x:c r="I20" s="17"/>
      <x:c r="J20" s="17"/>
      <x:c r="K20" s="17"/>
      <x:c r="L20" s="17" t="str">
        <x:v>130*40*75</x:v>
      </x:c>
      <x:c r="M20" s="17" t="str">
        <x:v>130*40*75</x:v>
      </x:c>
      <x:c r="N20" s="22" t="str">
        <x:v>pieza</x:v>
      </x:c>
      <x:c r="O20" s="23" t="n">
        <x:v>9990</x:v>
      </x:c>
      <x:c r="P20" s="23" t="n">
        <x:v>11990</x:v>
      </x:c>
      <x:c r="Q20" s="17" t="str">
        <x:v>$11,990 – $9,990</x:v>
      </x:c>
      <x:c r="R20" s="22" t="str">
        <x:v>confirmado</x:v>
      </x:c>
      <x:c r="S20" s="22" t="str">
        <x:v>Sí</x:v>
      </x:c>
      <x:c r="T20" s="24"/>
      <x:c r="U20" s="17" t="str">
        <x:v>https://graph.microsoft.com/v1.0/me/drive/items/01DHXXN7YJMCJUVPBWNJEJPJIH7B4OTAUR#page=7</x:v>
      </x:c>
      <x:c r="V20" s="17" t="str">
        <x:v>https://graph.microsoft.com/v1.0/me/drive/items/01DHXXN7YJMCJUVPBWNJEJPJIH7B4OTAUR</x:v>
      </x:c>
      <x:c r="W20" s="17" t="str">
        <x:v>9660c83cf31ac1b18577441a049d01d895b84ad7ba7b6050013f74d1fb111d59</x:v>
      </x:c>
      <x:c r="X20" s="17" t="str">
        <x:v>SKU no publicado; se conserva una identidad técnica estable.</x:v>
      </x:c>
    </x:row>
    <x:row r="21" ht="34" customHeight="1">
      <x:c r="A21" s="17" t="str">
        <x:v>IDÉLIKA</x:v>
      </x:c>
      <x:c r="B21" s="17" t="str">
        <x:v>Fabricacion</x:v>
      </x:c>
      <x:c r="C21" s="17" t="str">
        <x:v>1 CATALOGO FABRICACION 2026B.pdf</x:v>
      </x:c>
      <x:c r="D21" s="21" t="n">
        <x:v>7</x:v>
      </x:c>
      <x:c r="E21" s="17" t="str">
        <x:v>idelika:fabricacion:sin-sku:d9ca547ae8b64104705c</x:v>
      </x:c>
      <x:c r="F21" s="17"/>
      <x:c r="G21" s="22" t="str">
        <x:v>por_verificar</x:v>
      </x:c>
      <x:c r="H21" s="17" t="str">
        <x:v>Recámara QS Wabi</x:v>
      </x:c>
      <x:c r="I21" s="17"/>
      <x:c r="J21" s="17"/>
      <x:c r="K21" s="17"/>
      <x:c r="L21" s="17" t="str">
        <x:v>180*50*50</x:v>
      </x:c>
      <x:c r="M21" s="17" t="str">
        <x:v>180*50*50</x:v>
      </x:c>
      <x:c r="N21" s="22" t="str">
        <x:v>pieza</x:v>
      </x:c>
      <x:c r="O21" s="23" t="n">
        <x:v>9990</x:v>
      </x:c>
      <x:c r="P21" s="23" t="n">
        <x:v>11990</x:v>
      </x:c>
      <x:c r="Q21" s="17" t="str">
        <x:v>$11,990 – $9,990</x:v>
      </x:c>
      <x:c r="R21" s="22" t="str">
        <x:v>confirmado</x:v>
      </x:c>
      <x:c r="S21" s="22" t="str">
        <x:v>Sí</x:v>
      </x:c>
      <x:c r="T21" s="24"/>
      <x:c r="U21" s="17" t="str">
        <x:v>https://graph.microsoft.com/v1.0/me/drive/items/01DHXXN7YJMCJUVPBWNJEJPJIH7B4OTAUR#page=7</x:v>
      </x:c>
      <x:c r="V21" s="17" t="str">
        <x:v>https://graph.microsoft.com/v1.0/me/drive/items/01DHXXN7YJMCJUVPBWNJEJPJIH7B4OTAUR</x:v>
      </x:c>
      <x:c r="W21" s="17" t="str">
        <x:v>d9ca547ae8b64104705c6d83f1064d2f2c76509bfe3ced17fb5a74250eaf99b5</x:v>
      </x:c>
      <x:c r="X21" s="17" t="str">
        <x:v>SKU no publicado; se conserva una identidad técnica estable.</x:v>
      </x:c>
    </x:row>
    <x:row r="22" ht="34" customHeight="1">
      <x:c r="A22" s="17" t="str">
        <x:v>IDÉLIKA</x:v>
      </x:c>
      <x:c r="B22" s="17" t="str">
        <x:v>Fabricacion</x:v>
      </x:c>
      <x:c r="C22" s="17" t="str">
        <x:v>1 CATALOGO FABRICACION 2026B.pdf</x:v>
      </x:c>
      <x:c r="D22" s="21" t="n">
        <x:v>7</x:v>
      </x:c>
      <x:c r="E22" s="17" t="str">
        <x:v>idelika:fabricacion:sin-sku:a1804bad27356bb5dec4</x:v>
      </x:c>
      <x:c r="F22" s="17"/>
      <x:c r="G22" s="22" t="str">
        <x:v>por_verificar</x:v>
      </x:c>
      <x:c r="H22" s="17" t="str">
        <x:v>Banca o mesa centro</x:v>
      </x:c>
      <x:c r="I22" s="17"/>
      <x:c r="J22" s="17"/>
      <x:c r="K22" s="17" t="str">
        <x:v>Fabricación acero</x:v>
      </x:c>
      <x:c r="L22" s="17" t="str">
        <x:v>100*40*30 alto</x:v>
      </x:c>
      <x:c r="M22" s="17" t="str">
        <x:v>100*40*30 alto Espejo Wabi 130*45</x:v>
      </x:c>
      <x:c r="N22" s="22" t="str">
        <x:v>pieza</x:v>
      </x:c>
      <x:c r="O22" s="23" t="n">
        <x:v>7990</x:v>
      </x:c>
      <x:c r="P22" s="23" t="n">
        <x:v>9790</x:v>
      </x:c>
      <x:c r="Q22" s="17" t="str">
        <x:v>$9,790 – $7,990</x:v>
      </x:c>
      <x:c r="R22" s="22" t="str">
        <x:v>confirmado</x:v>
      </x:c>
      <x:c r="S22" s="22" t="str">
        <x:v>Sí</x:v>
      </x:c>
      <x:c r="T22" s="24"/>
      <x:c r="U22" s="17" t="str">
        <x:v>https://graph.microsoft.com/v1.0/me/drive/items/01DHXXN7YJMCJUVPBWNJEJPJIH7B4OTAUR#page=7</x:v>
      </x:c>
      <x:c r="V22" s="17" t="str">
        <x:v>https://graph.microsoft.com/v1.0/me/drive/items/01DHXXN7YJMCJUVPBWNJEJPJIH7B4OTAUR</x:v>
      </x:c>
      <x:c r="W22" s="17" t="str">
        <x:v>a1804bad27356bb5dec47dbdf40c496f79fecebf23261e526440d871eaa4e107</x:v>
      </x:c>
      <x:c r="X22" s="17" t="str">
        <x:v>SKU no publicado; se conserva una identidad técnica estable.</x:v>
      </x:c>
    </x:row>
    <x:row r="23" ht="34" customHeight="1">
      <x:c r="A23" s="17" t="str">
        <x:v>IDÉLIKA</x:v>
      </x:c>
      <x:c r="B23" s="17" t="str">
        <x:v>Fabricacion</x:v>
      </x:c>
      <x:c r="C23" s="17" t="str">
        <x:v>1 CATALOGO FABRICACION 2026B.pdf</x:v>
      </x:c>
      <x:c r="D23" s="21" t="n">
        <x:v>7</x:v>
      </x:c>
      <x:c r="E23" s="17" t="str">
        <x:v>idelika:fabricacion:sin-sku:b854d83f18aa8077a828</x:v>
      </x:c>
      <x:c r="F23" s="17"/>
      <x:c r="G23" s="22" t="str">
        <x:v>por_verificar</x:v>
      </x:c>
      <x:c r="H23" s="17" t="str">
        <x:v>Banca o mesa centro</x:v>
      </x:c>
      <x:c r="I23" s="17"/>
      <x:c r="J23" s="17"/>
      <x:c r="K23" s="17" t="str">
        <x:v>Fabricación acero</x:v>
      </x:c>
      <x:c r="L23" s="17" t="str">
        <x:v>130*45</x:v>
      </x:c>
      <x:c r="M23" s="17" t="str">
        <x:v>100*40*30 alto Espejo Wabi 130*45</x:v>
      </x:c>
      <x:c r="N23" s="22" t="str">
        <x:v>pieza</x:v>
      </x:c>
      <x:c r="O23" s="23" t="n">
        <x:v>7990</x:v>
      </x:c>
      <x:c r="P23" s="23" t="n">
        <x:v>9790</x:v>
      </x:c>
      <x:c r="Q23" s="17" t="str">
        <x:v>$9,790 – $7,990</x:v>
      </x:c>
      <x:c r="R23" s="22" t="str">
        <x:v>confirmado</x:v>
      </x:c>
      <x:c r="S23" s="22" t="str">
        <x:v>Sí</x:v>
      </x:c>
      <x:c r="T23" s="24"/>
      <x:c r="U23" s="17" t="str">
        <x:v>https://graph.microsoft.com/v1.0/me/drive/items/01DHXXN7YJMCJUVPBWNJEJPJIH7B4OTAUR#page=7</x:v>
      </x:c>
      <x:c r="V23" s="17" t="str">
        <x:v>https://graph.microsoft.com/v1.0/me/drive/items/01DHXXN7YJMCJUVPBWNJEJPJIH7B4OTAUR</x:v>
      </x:c>
      <x:c r="W23" s="17" t="str">
        <x:v>b854d83f18aa8077a82883c8ecded05cad68c2cebe9e1f43c511eefe9801d500</x:v>
      </x:c>
      <x:c r="X23" s="17" t="str">
        <x:v>SKU no publicado; se conserva una identidad técnica estable.</x:v>
      </x:c>
    </x:row>
    <x:row r="24" ht="34" customHeight="1">
      <x:c r="A24" s="17" t="str">
        <x:v>IDÉLIKA</x:v>
      </x:c>
      <x:c r="B24" s="17" t="str">
        <x:v>Fabricacion</x:v>
      </x:c>
      <x:c r="C24" s="17" t="str">
        <x:v>1 CATALOGO FABRICACION 2026B.pdf</x:v>
      </x:c>
      <x:c r="D24" s="21" t="n">
        <x:v>8</x:v>
      </x:c>
      <x:c r="E24" s="17" t="str">
        <x:v>idelika:fabricacion:sin-sku:3a7afd14d419135c9c96</x:v>
      </x:c>
      <x:c r="F24" s="17"/>
      <x:c r="G24" s="22" t="str">
        <x:v>por_verificar</x:v>
      </x:c>
      <x:c r="H24" s="17" t="str">
        <x:v>Emma seccional</x:v>
      </x:c>
      <x:c r="I24" s="17"/>
      <x:c r="J24" s="17"/>
      <x:c r="K24" s="17" t="str">
        <x:v>Madera y tela Acero y tela</x:v>
      </x:c>
      <x:c r="L24" s="17" t="str">
        <x:v>186*290*84 alto.</x:v>
      </x:c>
      <x:c r="M24" s="17" t="str">
        <x:v>186*290*84 alto. Madera y tela Ashton sofacama 95*190*95 alto Acero y tela</x:v>
      </x:c>
      <x:c r="N24" s="22" t="str">
        <x:v>pieza</x:v>
      </x:c>
      <x:c r="O24" s="23" t="n">
        <x:v>29990</x:v>
      </x:c>
      <x:c r="P24" s="23" t="n">
        <x:v>39990</x:v>
      </x:c>
      <x:c r="Q24" s="17" t="str">
        <x:v>$39,990 – $29,990</x:v>
      </x:c>
      <x:c r="R24" s="22" t="str">
        <x:v>confirmado</x:v>
      </x:c>
      <x:c r="S24" s="22" t="str">
        <x:v>Sí</x:v>
      </x:c>
      <x:c r="T24" s="24"/>
      <x:c r="U24" s="17" t="str">
        <x:v>https://graph.microsoft.com/v1.0/me/drive/items/01DHXXN7YJMCJUVPBWNJEJPJIH7B4OTAUR#page=8</x:v>
      </x:c>
      <x:c r="V24" s="17" t="str">
        <x:v>https://graph.microsoft.com/v1.0/me/drive/items/01DHXXN7YJMCJUVPBWNJEJPJIH7B4OTAUR</x:v>
      </x:c>
      <x:c r="W24" s="17" t="str">
        <x:v>3a7afd14d419135c9c968ed33f87bfc552b0da7e76c7b93b47cc5b2d3761aa14</x:v>
      </x:c>
      <x:c r="X24" s="17" t="str">
        <x:v>SKU no publicado; se conserva una identidad técnica estable.</x:v>
      </x:c>
    </x:row>
    <x:row r="25" ht="34" customHeight="1">
      <x:c r="A25" s="17" t="str">
        <x:v>IDÉLIKA</x:v>
      </x:c>
      <x:c r="B25" s="17" t="str">
        <x:v>Fabricacion</x:v>
      </x:c>
      <x:c r="C25" s="17" t="str">
        <x:v>1 CATALOGO FABRICACION 2026B.pdf</x:v>
      </x:c>
      <x:c r="D25" s="21" t="n">
        <x:v>8</x:v>
      </x:c>
      <x:c r="E25" s="17" t="str">
        <x:v>idelika:fabricacion:sin-sku:d54df609aadc816ac3a8</x:v>
      </x:c>
      <x:c r="F25" s="17"/>
      <x:c r="G25" s="22" t="str">
        <x:v>por_verificar</x:v>
      </x:c>
      <x:c r="H25" s="17" t="str">
        <x:v>Emma seccional</x:v>
      </x:c>
      <x:c r="I25" s="17"/>
      <x:c r="J25" s="17"/>
      <x:c r="K25" s="17" t="str">
        <x:v>Madera y tela Acero y tela</x:v>
      </x:c>
      <x:c r="L25" s="17" t="str">
        <x:v>95*190*95 alto</x:v>
      </x:c>
      <x:c r="M25" s="17" t="str">
        <x:v>186*290*84 alto. Madera y tela Ashton sofacama 95*190*95 alto Acero y tela</x:v>
      </x:c>
      <x:c r="N25" s="22" t="str">
        <x:v>pieza</x:v>
      </x:c>
      <x:c r="O25" s="23" t="n">
        <x:v>8990</x:v>
      </x:c>
      <x:c r="P25" s="23" t="n">
        <x:v>9990</x:v>
      </x:c>
      <x:c r="Q25" s="17" t="str">
        <x:v>$9,990 – $8,990</x:v>
      </x:c>
      <x:c r="R25" s="22" t="str">
        <x:v>confirmado</x:v>
      </x:c>
      <x:c r="S25" s="22" t="str">
        <x:v>Sí</x:v>
      </x:c>
      <x:c r="T25" s="24"/>
      <x:c r="U25" s="17" t="str">
        <x:v>https://graph.microsoft.com/v1.0/me/drive/items/01DHXXN7YJMCJUVPBWNJEJPJIH7B4OTAUR#page=8</x:v>
      </x:c>
      <x:c r="V25" s="17" t="str">
        <x:v>https://graph.microsoft.com/v1.0/me/drive/items/01DHXXN7YJMCJUVPBWNJEJPJIH7B4OTAUR</x:v>
      </x:c>
      <x:c r="W25" s="17" t="str">
        <x:v>d54df609aadc816ac3a804bc92f651c9b0ffb897e5e825a6abbed7b08aeaf5bf</x:v>
      </x:c>
      <x:c r="X25" s="17" t="str">
        <x:v>SKU no publicado; se conserva una identidad técnica estable.</x:v>
      </x:c>
    </x:row>
    <x:row r="26" ht="34" customHeight="1">
      <x:c r="A26" s="17" t="str">
        <x:v>IDÉLIKA</x:v>
      </x:c>
      <x:c r="B26" s="17" t="str">
        <x:v>Fabricacion</x:v>
      </x:c>
      <x:c r="C26" s="17" t="str">
        <x:v>1 CATALOGO FABRICACION 2026B.pdf</x:v>
      </x:c>
      <x:c r="D26" s="21" t="n">
        <x:v>9</x:v>
      </x:c>
      <x:c r="E26" s="17" t="str">
        <x:v>idelika:fabricacion:sin-sku:932613ba0d8596493233</x:v>
      </x:c>
      <x:c r="F26" s="17"/>
      <x:c r="G26" s="22" t="str">
        <x:v>por_verificar</x:v>
      </x:c>
      <x:c r="H26" s="17" t="str">
        <x:v>Zicatela silla</x:v>
      </x:c>
      <x:c r="I26" s="17" t="str">
        <x:v>Corazón de México</x:v>
      </x:c>
      <x:c r="J26" s="17"/>
      <x:c r="K26" s="17" t="str">
        <x:v>Parota y cuerda de polipropileno</x:v>
      </x:c>
      <x:c r="L26" s="17" t="str">
        <x:v>60*52*82</x:v>
      </x:c>
      <x:c r="M26" s="17" t="str">
        <x:v>Parota y cuerda De multifilamento de polipropileno Uso exterior techado 60*52*82 Hecha con el corazón y con las manos de nuestros artesanos, de México para el mundo.</x:v>
      </x:c>
      <x:c r="N26" s="22" t="str">
        <x:v>pieza</x:v>
      </x:c>
      <x:c r="O26" s="23" t="n">
        <x:v>4999</x:v>
      </x:c>
      <x:c r="P26" s="23" t="n">
        <x:v>5499</x:v>
      </x:c>
      <x:c r="Q26" s="17" t="str">
        <x:v>$5,499 – $4,999</x:v>
      </x:c>
      <x:c r="R26" s="22" t="str">
        <x:v>confirmado</x:v>
      </x:c>
      <x:c r="S26" s="22" t="str">
        <x:v>Sí</x:v>
      </x:c>
      <x:c r="T26" s="24"/>
      <x:c r="U26" s="17" t="str">
        <x:v>https://graph.microsoft.com/v1.0/me/drive/items/01DHXXN7YJMCJUVPBWNJEJPJIH7B4OTAUR#page=9</x:v>
      </x:c>
      <x:c r="V26" s="17" t="str">
        <x:v>https://graph.microsoft.com/v1.0/me/drive/items/01DHXXN7YJMCJUVPBWNJEJPJIH7B4OTAUR</x:v>
      </x:c>
      <x:c r="W26" s="17" t="str">
        <x:v>932613ba0d8596493233688c7872a1a77f825b8a1f6d7394a1fa4726eaa15eff</x:v>
      </x:c>
      <x:c r="X26" s="17" t="str">
        <x:v>SKU no publicado; se conserva una identidad técnica estable.</x:v>
      </x:c>
    </x:row>
    <x:row r="27" ht="34" customHeight="1">
      <x:c r="A27" s="17" t="str">
        <x:v>IDÉLIKA</x:v>
      </x:c>
      <x:c r="B27" s="17" t="str">
        <x:v>Fabricacion</x:v>
      </x:c>
      <x:c r="C27" s="17" t="str">
        <x:v>1 CATALOGO FABRICACION 2026B.pdf</x:v>
      </x:c>
      <x:c r="D27" s="21" t="n">
        <x:v>10</x:v>
      </x:c>
      <x:c r="E27" s="17" t="str">
        <x:v>idelika:fabricacion:sin-sku:9d9b5f1131621cf2b85a</x:v>
      </x:c>
      <x:c r="F27" s="17"/>
      <x:c r="G27" s="22" t="str">
        <x:v>por_verificar</x:v>
      </x:c>
      <x:c r="H27" s="17" t="str">
        <x:v>Colección Pichilinge exterior 100%</x:v>
      </x:c>
      <x:c r="I27" s="17" t="str">
        <x:v>Pichilinge exterior 100%</x:v>
      </x:c>
      <x:c r="J27" s="17" t="str">
        <x:v>Sillón</x:v>
      </x:c>
      <x:c r="K27" s="17" t="str">
        <x:v>Madera de rosa morada, palma sintética y loneta náutica</x:v>
      </x:c>
      <x:c r="L27" s="17" t="str">
        <x:v>100*60*32 mesa</x:v>
      </x:c>
      <x:c r="M27" s="17" t="str">
        <x:v>200*70*65 sofá 150*70*65 love 74*70*65 sillón 100*60*32 mesa Madera de rosa morada, palma sintética y loneta náutica</x:v>
      </x:c>
      <x:c r="N27" s="22" t="str">
        <x:v>pieza</x:v>
      </x:c>
      <x:c r="O27" s="23" t="n">
        <x:v>11990</x:v>
      </x:c>
      <x:c r="P27" s="23" t="n">
        <x:v>12990</x:v>
      </x:c>
      <x:c r="Q27" s="17" t="str">
        <x:v>$12,990 – $11,990 Sillón</x:v>
      </x:c>
      <x:c r="R27" s="22" t="str">
        <x:v>confirmado</x:v>
      </x:c>
      <x:c r="S27" s="22" t="str">
        <x:v>Sí</x:v>
      </x:c>
      <x:c r="T27" s="24"/>
      <x:c r="U27" s="17" t="str">
        <x:v>https://graph.microsoft.com/v1.0/me/drive/items/01DHXXN7YJMCJUVPBWNJEJPJIH7B4OTAUR#page=10</x:v>
      </x:c>
      <x:c r="V27" s="17" t="str">
        <x:v>https://graph.microsoft.com/v1.0/me/drive/items/01DHXXN7YJMCJUVPBWNJEJPJIH7B4OTAUR</x:v>
      </x:c>
      <x:c r="W27" s="17" t="str">
        <x:v>9d9b5f1131621cf2b85ad7d828cbbc766b557492b6f503f730349fb8a327aa85</x:v>
      </x:c>
      <x:c r="X27" s="17" t="str">
        <x:v>SKU no publicado; se conserva una identidad técnica estable.</x:v>
      </x:c>
    </x:row>
    <x:row r="28" ht="34" customHeight="1">
      <x:c r="A28" s="17" t="str">
        <x:v>IDÉLIKA</x:v>
      </x:c>
      <x:c r="B28" s="17" t="str">
        <x:v>Fabricacion</x:v>
      </x:c>
      <x:c r="C28" s="17" t="str">
        <x:v>1 CATALOGO FABRICACION 2026B.pdf</x:v>
      </x:c>
      <x:c r="D28" s="21" t="n">
        <x:v>10</x:v>
      </x:c>
      <x:c r="E28" s="17" t="str">
        <x:v>idelika:fabricacion:sin-sku:489c9512cdb69d4fc22b</x:v>
      </x:c>
      <x:c r="F28" s="17"/>
      <x:c r="G28" s="22" t="str">
        <x:v>por_verificar</x:v>
      </x:c>
      <x:c r="H28" s="17" t="str">
        <x:v>Colección Pichilinge exterior 100%</x:v>
      </x:c>
      <x:c r="I28" s="17" t="str">
        <x:v>Pichilinge exterior 100%</x:v>
      </x:c>
      <x:c r="J28" s="17" t="str">
        <x:v>Love</x:v>
      </x:c>
      <x:c r="K28" s="17" t="str">
        <x:v>Madera de rosa morada, palma sintética y loneta náutica</x:v>
      </x:c>
      <x:c r="L28" s="17"/>
      <x:c r="M28" s="17" t="str">
        <x:v>200*70*65 sofá 150*70*65 love 74*70*65 sillón 100*60*32 mesa Madera de rosa morada, palma sintética y loneta náutica</x:v>
      </x:c>
      <x:c r="N28" s="22" t="str">
        <x:v>pieza</x:v>
      </x:c>
      <x:c r="O28" s="23" t="n">
        <x:v>17990</x:v>
      </x:c>
      <x:c r="P28" s="23" t="n">
        <x:v>19990</x:v>
      </x:c>
      <x:c r="Q28" s="17" t="str">
        <x:v>$19,990 – $17,990 Love</x:v>
      </x:c>
      <x:c r="R28" s="22" t="str">
        <x:v>confirmado</x:v>
      </x:c>
      <x:c r="S28" s="22" t="str">
        <x:v>Sí</x:v>
      </x:c>
      <x:c r="T28" s="24"/>
      <x:c r="U28" s="17" t="str">
        <x:v>https://graph.microsoft.com/v1.0/me/drive/items/01DHXXN7YJMCJUVPBWNJEJPJIH7B4OTAUR#page=10</x:v>
      </x:c>
      <x:c r="V28" s="17" t="str">
        <x:v>https://graph.microsoft.com/v1.0/me/drive/items/01DHXXN7YJMCJUVPBWNJEJPJIH7B4OTAUR</x:v>
      </x:c>
      <x:c r="W28" s="17" t="str">
        <x:v>489c9512cdb69d4fc22b8b73dac52d70331a9d5ab8c039e37fd1ab096596a234</x:v>
      </x:c>
      <x:c r="X28" s="17" t="str">
        <x:v>SKU no publicado; se conserva una identidad técnica estable.</x:v>
      </x:c>
    </x:row>
    <x:row r="29" ht="34" customHeight="1">
      <x:c r="A29" s="17" t="str">
        <x:v>IDÉLIKA</x:v>
      </x:c>
      <x:c r="B29" s="17" t="str">
        <x:v>Fabricacion</x:v>
      </x:c>
      <x:c r="C29" s="17" t="str">
        <x:v>1 CATALOGO FABRICACION 2026B.pdf</x:v>
      </x:c>
      <x:c r="D29" s="21" t="n">
        <x:v>10</x:v>
      </x:c>
      <x:c r="E29" s="17" t="str">
        <x:v>idelika:fabricacion:sin-sku:6c8254a2d5ea3816c4a6</x:v>
      </x:c>
      <x:c r="F29" s="17"/>
      <x:c r="G29" s="22" t="str">
        <x:v>por_verificar</x:v>
      </x:c>
      <x:c r="H29" s="17" t="str">
        <x:v>Colección Pichilinge exterior 100%</x:v>
      </x:c>
      <x:c r="I29" s="17" t="str">
        <x:v>Pichilinge exterior 100%</x:v>
      </x:c>
      <x:c r="J29" s="17" t="str">
        <x:v>Sofá</x:v>
      </x:c>
      <x:c r="K29" s="17" t="str">
        <x:v>Madera de rosa morada, palma sintética y loneta náutica</x:v>
      </x:c>
      <x:c r="L29" s="17"/>
      <x:c r="M29" s="17" t="str">
        <x:v>200*70*65 sofá 150*70*65 love 74*70*65 sillón 100*60*32 mesa Madera de rosa morada, palma sintética y loneta náutica</x:v>
      </x:c>
      <x:c r="N29" s="22" t="str">
        <x:v>pieza</x:v>
      </x:c>
      <x:c r="O29" s="23" t="n">
        <x:v>19990</x:v>
      </x:c>
      <x:c r="P29" s="23" t="n">
        <x:v>22990</x:v>
      </x:c>
      <x:c r="Q29" s="17" t="str">
        <x:v>$22,990 – $19,990 Sofá</x:v>
      </x:c>
      <x:c r="R29" s="22" t="str">
        <x:v>confirmado</x:v>
      </x:c>
      <x:c r="S29" s="22" t="str">
        <x:v>Sí</x:v>
      </x:c>
      <x:c r="T29" s="24"/>
      <x:c r="U29" s="17" t="str">
        <x:v>https://graph.microsoft.com/v1.0/me/drive/items/01DHXXN7YJMCJUVPBWNJEJPJIH7B4OTAUR#page=10</x:v>
      </x:c>
      <x:c r="V29" s="17" t="str">
        <x:v>https://graph.microsoft.com/v1.0/me/drive/items/01DHXXN7YJMCJUVPBWNJEJPJIH7B4OTAUR</x:v>
      </x:c>
      <x:c r="W29" s="17" t="str">
        <x:v>6c8254a2d5ea3816c4a689e2104783a34ed4691fa0bd0b21604075e7aa4d7948</x:v>
      </x:c>
      <x:c r="X29" s="17" t="str">
        <x:v>SKU no publicado; se conserva una identidad técnica estable.</x:v>
      </x:c>
    </x:row>
    <x:row r="30" ht="34" customHeight="1">
      <x:c r="A30" s="17" t="str">
        <x:v>IDÉLIKA</x:v>
      </x:c>
      <x:c r="B30" s="17" t="str">
        <x:v>Fabricacion</x:v>
      </x:c>
      <x:c r="C30" s="17" t="str">
        <x:v>1 CATALOGO FABRICACION 2026B.pdf</x:v>
      </x:c>
      <x:c r="D30" s="21" t="n">
        <x:v>10</x:v>
      </x:c>
      <x:c r="E30" s="17" t="str">
        <x:v>idelika:fabricacion:sin-sku:03b76b54d7aab72da3ed</x:v>
      </x:c>
      <x:c r="F30" s="17"/>
      <x:c r="G30" s="22" t="str">
        <x:v>por_verificar</x:v>
      </x:c>
      <x:c r="H30" s="17" t="str">
        <x:v>Colección Pichilinge exterior 100%</x:v>
      </x:c>
      <x:c r="I30" s="17" t="str">
        <x:v>Pichilinge exterior 100%</x:v>
      </x:c>
      <x:c r="J30" s="17" t="str">
        <x:v>mesa</x:v>
      </x:c>
      <x:c r="K30" s="17" t="str">
        <x:v>Madera de rosa morada, palma sintética y loneta náutica</x:v>
      </x:c>
      <x:c r="L30" s="17"/>
      <x:c r="M30" s="17" t="str">
        <x:v>200*70*65 sofá 150*70*65 love 74*70*65 sillón 100*60*32 mesa Madera de rosa morada, palma sintética y loneta náutica</x:v>
      </x:c>
      <x:c r="N30" s="22" t="str">
        <x:v>pieza</x:v>
      </x:c>
      <x:c r="O30" s="23" t="n">
        <x:v>8990</x:v>
      </x:c>
      <x:c r="P30" s="23" t="n">
        <x:v>10990</x:v>
      </x:c>
      <x:c r="Q30" s="17" t="str">
        <x:v>$10,990 – $8,990 mesa</x:v>
      </x:c>
      <x:c r="R30" s="22" t="str">
        <x:v>confirmado</x:v>
      </x:c>
      <x:c r="S30" s="22" t="str">
        <x:v>Sí</x:v>
      </x:c>
      <x:c r="T30" s="24"/>
      <x:c r="U30" s="17" t="str">
        <x:v>https://graph.microsoft.com/v1.0/me/drive/items/01DHXXN7YJMCJUVPBWNJEJPJIH7B4OTAUR#page=10</x:v>
      </x:c>
      <x:c r="V30" s="17" t="str">
        <x:v>https://graph.microsoft.com/v1.0/me/drive/items/01DHXXN7YJMCJUVPBWNJEJPJIH7B4OTAUR</x:v>
      </x:c>
      <x:c r="W30" s="17" t="str">
        <x:v>03b76b54d7aab72da3ed72aa533e26703f2ecda1e1c3945865f7f647f7d62e11</x:v>
      </x:c>
      <x:c r="X30" s="17" t="str">
        <x:v>SKU no publicado; se conserva una identidad técnica estable.</x:v>
      </x:c>
    </x:row>
    <x:row r="31" ht="34" customHeight="1">
      <x:c r="A31" s="17" t="str">
        <x:v>IDÉLIKA</x:v>
      </x:c>
      <x:c r="B31" s="17" t="str">
        <x:v>Fabricacion</x:v>
      </x:c>
      <x:c r="C31" s="17" t="str">
        <x:v>1 CATALOGO FABRICACION 2026B.pdf</x:v>
      </x:c>
      <x:c r="D31" s="21" t="n">
        <x:v>10</x:v>
      </x:c>
      <x:c r="E31" s="17" t="str">
        <x:v>idelika:fabricacion:sin-sku:4669aa5a7b7151383078</x:v>
      </x:c>
      <x:c r="F31" s="17"/>
      <x:c r="G31" s="22" t="str">
        <x:v>por_verificar</x:v>
      </x:c>
      <x:c r="H31" s="17" t="str">
        <x:v>Silla Pichilingue</x:v>
      </x:c>
      <x:c r="I31" s="17" t="str">
        <x:v>Pichilinge exterior 100%</x:v>
      </x:c>
      <x:c r="J31" s="17"/>
      <x:c r="K31" s="17" t="str">
        <x:v>Madera de rosa morada, palma sintética y loneta náutica</x:v>
      </x:c>
      <x:c r="L31" s="17" t="str">
        <x:v>50*47*79 alto</x:v>
      </x:c>
      <x:c r="M31" s="17" t="str">
        <x:v>Madera de rosa morada, palma sintética y loneta náutica 50*47*79 alto</x:v>
      </x:c>
      <x:c r="N31" s="22" t="str">
        <x:v>pieza</x:v>
      </x:c>
      <x:c r="O31" s="23" t="n">
        <x:v>5990</x:v>
      </x:c>
      <x:c r="P31" s="23" t="n">
        <x:v>6990</x:v>
      </x:c>
      <x:c r="Q31" s="17" t="str">
        <x:v>$6,990 – $5,990</x:v>
      </x:c>
      <x:c r="R31" s="22" t="str">
        <x:v>confirmado</x:v>
      </x:c>
      <x:c r="S31" s="22" t="str">
        <x:v>Sí</x:v>
      </x:c>
      <x:c r="T31" s="24"/>
      <x:c r="U31" s="17" t="str">
        <x:v>https://graph.microsoft.com/v1.0/me/drive/items/01DHXXN7YJMCJUVPBWNJEJPJIH7B4OTAUR#page=10</x:v>
      </x:c>
      <x:c r="V31" s="17" t="str">
        <x:v>https://graph.microsoft.com/v1.0/me/drive/items/01DHXXN7YJMCJUVPBWNJEJPJIH7B4OTAUR</x:v>
      </x:c>
      <x:c r="W31" s="17" t="str">
        <x:v>4669aa5a7b7151383078b390aeba3f30867a4edfb0e1cf495c859b4144fd6bc8</x:v>
      </x:c>
      <x:c r="X31" s="17" t="str">
        <x:v>SKU no publicado; se conserva una identidad técnica estable.</x:v>
      </x:c>
    </x:row>
    <x:row r="32" ht="34" customHeight="1">
      <x:c r="A32" s="17" t="str">
        <x:v>IDÉLIKA</x:v>
      </x:c>
      <x:c r="B32" s="17" t="str">
        <x:v>Fabricacion</x:v>
      </x:c>
      <x:c r="C32" s="17" t="str">
        <x:v>1 CATALOGO FABRICACION 2026B.pdf</x:v>
      </x:c>
      <x:c r="D32" s="21" t="n">
        <x:v>10</x:v>
      </x:c>
      <x:c r="E32" s="17" t="str">
        <x:v>idelika:fabricacion:sin-sku:651ad5555f47a25b8096</x:v>
      </x:c>
      <x:c r="F32" s="17"/>
      <x:c r="G32" s="22" t="str">
        <x:v>por_verificar</x:v>
      </x:c>
      <x:c r="H32" s="17" t="str">
        <x:v>Banco Pichilingue</x:v>
      </x:c>
      <x:c r="I32" s="17" t="str">
        <x:v>Pichilinge exterior 100%</x:v>
      </x:c>
      <x:c r="J32" s="17"/>
      <x:c r="K32" s="17" t="str">
        <x:v>Madera de rosa morada, palma sintética y loneta náutica</x:v>
      </x:c>
      <x:c r="L32" s="17" t="str">
        <x:v>50*47*105 alto</x:v>
      </x:c>
      <x:c r="M32" s="17" t="str">
        <x:v>Madera de rosa morada, palma sintética y loneta náutica 50*47*105 alto</x:v>
      </x:c>
      <x:c r="N32" s="22" t="str">
        <x:v>pieza</x:v>
      </x:c>
      <x:c r="O32" s="23" t="n">
        <x:v>6990</x:v>
      </x:c>
      <x:c r="P32" s="23" t="n">
        <x:v>7990</x:v>
      </x:c>
      <x:c r="Q32" s="17" t="str">
        <x:v>$7,990 – $6,990</x:v>
      </x:c>
      <x:c r="R32" s="22" t="str">
        <x:v>confirmado</x:v>
      </x:c>
      <x:c r="S32" s="22" t="str">
        <x:v>Sí</x:v>
      </x:c>
      <x:c r="T32" s="24"/>
      <x:c r="U32" s="17" t="str">
        <x:v>https://graph.microsoft.com/v1.0/me/drive/items/01DHXXN7YJMCJUVPBWNJEJPJIH7B4OTAUR#page=10</x:v>
      </x:c>
      <x:c r="V32" s="17" t="str">
        <x:v>https://graph.microsoft.com/v1.0/me/drive/items/01DHXXN7YJMCJUVPBWNJEJPJIH7B4OTAUR</x:v>
      </x:c>
      <x:c r="W32" s="17" t="str">
        <x:v>651ad5555f47a25b809688a70dab26ad3ce4b8723566d04d574c484e1f6561f3</x:v>
      </x:c>
      <x:c r="X32" s="17" t="str">
        <x:v>SKU no publicado; se conserva una identidad técnica estable.</x:v>
      </x:c>
    </x:row>
    <x:row r="33" ht="34" customHeight="1">
      <x:c r="A33" s="17" t="str">
        <x:v>IDÉLIKA</x:v>
      </x:c>
      <x:c r="B33" s="17" t="str">
        <x:v>Fabricacion</x:v>
      </x:c>
      <x:c r="C33" s="17" t="str">
        <x:v>1 CATALOGO FABRICACION 2026B.pdf</x:v>
      </x:c>
      <x:c r="D33" s="21" t="n">
        <x:v>10</x:v>
      </x:c>
      <x:c r="E33" s="17" t="str">
        <x:v>idelika:fabricacion:sin-sku:7083ac89f1ae3b68ff31</x:v>
      </x:c>
      <x:c r="F33" s="17"/>
      <x:c r="G33" s="22" t="str">
        <x:v>por_verificar</x:v>
      </x:c>
      <x:c r="H33" s="17" t="str">
        <x:v>Camastro Pichilingue</x:v>
      </x:c>
      <x:c r="I33" s="17" t="str">
        <x:v>Pichilinge exterior 100%</x:v>
      </x:c>
      <x:c r="J33" s="17"/>
      <x:c r="K33" s="17" t="str">
        <x:v>Madera de rosa morada, palma sintética y loneta náutica</x:v>
      </x:c>
      <x:c r="L33" s="17" t="str">
        <x:v>180*70*70 alto</x:v>
      </x:c>
      <x:c r="M33" s="17" t="str">
        <x:v>Madera de rosa morada, palma sintética y loneta náutica 180*70*70 alto</x:v>
      </x:c>
      <x:c r="N33" s="22" t="str">
        <x:v>pieza</x:v>
      </x:c>
      <x:c r="O33" s="23" t="n">
        <x:v>13990</x:v>
      </x:c>
      <x:c r="P33" s="23" t="n">
        <x:v>14990</x:v>
      </x:c>
      <x:c r="Q33" s="17" t="str">
        <x:v>$14,990 – $13,990</x:v>
      </x:c>
      <x:c r="R33" s="22" t="str">
        <x:v>confirmado</x:v>
      </x:c>
      <x:c r="S33" s="22" t="str">
        <x:v>Sí</x:v>
      </x:c>
      <x:c r="T33" s="24"/>
      <x:c r="U33" s="17" t="str">
        <x:v>https://graph.microsoft.com/v1.0/me/drive/items/01DHXXN7YJMCJUVPBWNJEJPJIH7B4OTAUR#page=10</x:v>
      </x:c>
      <x:c r="V33" s="17" t="str">
        <x:v>https://graph.microsoft.com/v1.0/me/drive/items/01DHXXN7YJMCJUVPBWNJEJPJIH7B4OTAUR</x:v>
      </x:c>
      <x:c r="W33" s="17" t="str">
        <x:v>7083ac89f1ae3b68ff311b17bf7fd85031a5a53b2b30d79b70148709b3395267</x:v>
      </x:c>
      <x:c r="X33" s="17" t="str">
        <x:v>SKU no publicado; se conserva una identidad técnica estable.</x:v>
      </x:c>
    </x:row>
    <x:row r="34" ht="34" customHeight="1">
      <x:c r="A34" s="17" t="str">
        <x:v>IDÉLIKA</x:v>
      </x:c>
      <x:c r="B34" s="17" t="str">
        <x:v>Fabricacion</x:v>
      </x:c>
      <x:c r="C34" s="17" t="str">
        <x:v>1 CATALOGO FABRICACION 2026B.pdf</x:v>
      </x:c>
      <x:c r="D34" s="21" t="n">
        <x:v>11</x:v>
      </x:c>
      <x:c r="E34" s="17" t="str">
        <x:v>idelika:fabricacion:sin-sku:5844a76ac78451a2883d</x:v>
      </x:c>
      <x:c r="F34" s="17"/>
      <x:c r="G34" s="22" t="str">
        <x:v>por_verificar</x:v>
      </x:c>
      <x:c r="H34" s="17" t="str">
        <x:v>Nam silla</x:v>
      </x:c>
      <x:c r="I34" s="17"/>
      <x:c r="J34" s="17"/>
      <x:c r="K34" s="17" t="str">
        <x:v>Acero con pintura electroestática</x:v>
      </x:c>
      <x:c r="L34" s="17" t="str">
        <x:v>Fabricación 56*56*77</x:v>
      </x:c>
      <x:c r="M34" s="17" t="str">
        <x:v>Acero con pintura electroestática</x:v>
      </x:c>
      <x:c r="N34" s="22" t="str">
        <x:v>pieza</x:v>
      </x:c>
      <x:c r="O34" s="23" t="n">
        <x:v>4990</x:v>
      </x:c>
      <x:c r="P34" s="23" t="n">
        <x:v>5199</x:v>
      </x:c>
      <x:c r="Q34" s="17" t="str">
        <x:v>$5,199 – $4,990</x:v>
      </x:c>
      <x:c r="R34" s="22" t="str">
        <x:v>confirmado</x:v>
      </x:c>
      <x:c r="S34" s="22" t="str">
        <x:v>Sí</x:v>
      </x:c>
      <x:c r="T34" s="24"/>
      <x:c r="U34" s="17" t="str">
        <x:v>https://graph.microsoft.com/v1.0/me/drive/items/01DHXXN7YJMCJUVPBWNJEJPJIH7B4OTAUR#page=11</x:v>
      </x:c>
      <x:c r="V34" s="17" t="str">
        <x:v>https://graph.microsoft.com/v1.0/me/drive/items/01DHXXN7YJMCJUVPBWNJEJPJIH7B4OTAUR</x:v>
      </x:c>
      <x:c r="W34" s="17" t="str">
        <x:v>5844a76ac78451a2883d4292df56b13a78df9ea30f8a8c73e3096bade4346c98</x:v>
      </x:c>
      <x:c r="X34" s="17" t="str">
        <x:v>SKU no publicado; se conserva una identidad técnica estable.</x:v>
      </x:c>
    </x:row>
    <x:row r="35" ht="34" customHeight="1">
      <x:c r="A35" s="17" t="str">
        <x:v>IDÉLIKA</x:v>
      </x:c>
      <x:c r="B35" s="17" t="str">
        <x:v>Fabricacion</x:v>
      </x:c>
      <x:c r="C35" s="17" t="str">
        <x:v>1 CATALOGO FABRICACION 2026B.pdf</x:v>
      </x:c>
      <x:c r="D35" s="21" t="n">
        <x:v>11</x:v>
      </x:c>
      <x:c r="E35" s="17" t="str">
        <x:v>idelika:fabricacion:sin-sku:dc0f9c80bd3267dd5c53</x:v>
      </x:c>
      <x:c r="F35" s="17"/>
      <x:c r="G35" s="22" t="str">
        <x:v>por_verificar</x:v>
      </x:c>
      <x:c r="H35" s="17" t="str">
        <x:v>Akumal sillón</x:v>
      </x:c>
      <x:c r="I35" s="17"/>
      <x:c r="J35" s="17"/>
      <x:c r="K35" s="17" t="str">
        <x:v>Madera de parota, cuerda y cojín poliester</x:v>
      </x:c>
      <x:c r="L35" s="17" t="str">
        <x:v>Fabricación 62*56*74</x:v>
      </x:c>
      <x:c r="M35" s="17" t="str">
        <x:v>Madera de parota, cuerda y cojín poliester</x:v>
      </x:c>
      <x:c r="N35" s="22" t="str">
        <x:v>pieza</x:v>
      </x:c>
      <x:c r="O35" s="23" t="n">
        <x:v>7990</x:v>
      </x:c>
      <x:c r="P35" s="23" t="n">
        <x:v>9199</x:v>
      </x:c>
      <x:c r="Q35" s="17" t="str">
        <x:v>$9,199 – $7,990</x:v>
      </x:c>
      <x:c r="R35" s="22" t="str">
        <x:v>confirmado</x:v>
      </x:c>
      <x:c r="S35" s="22" t="str">
        <x:v>Sí</x:v>
      </x:c>
      <x:c r="T35" s="24"/>
      <x:c r="U35" s="17" t="str">
        <x:v>https://graph.microsoft.com/v1.0/me/drive/items/01DHXXN7YJMCJUVPBWNJEJPJIH7B4OTAUR#page=11</x:v>
      </x:c>
      <x:c r="V35" s="17" t="str">
        <x:v>https://graph.microsoft.com/v1.0/me/drive/items/01DHXXN7YJMCJUVPBWNJEJPJIH7B4OTAUR</x:v>
      </x:c>
      <x:c r="W35" s="17" t="str">
        <x:v>dc0f9c80bd3267dd5c53f79fac66b6640e87dbf630fbc61ae945e13c19c4a6dd</x:v>
      </x:c>
      <x:c r="X35" s="17" t="str">
        <x:v>SKU no publicado; se conserva una identidad técnica estable.</x:v>
      </x:c>
    </x:row>
    <x:row r="36" ht="34" customHeight="1">
      <x:c r="A36" s="17" t="str">
        <x:v>IDÉLIKA</x:v>
      </x:c>
      <x:c r="B36" s="17" t="str">
        <x:v>Fabricacion</x:v>
      </x:c>
      <x:c r="C36" s="17" t="str">
        <x:v>1 CATALOGO FABRICACION 2026B.pdf</x:v>
      </x:c>
      <x:c r="D36" s="21" t="n">
        <x:v>13</x:v>
      </x:c>
      <x:c r="E36" s="17" t="str">
        <x:v>idelika:fabricacion:sin-sku:18e2e2accc59c5b8b948</x:v>
      </x:c>
      <x:c r="F36" s="17"/>
      <x:c r="G36" s="22" t="str">
        <x:v>por_verificar</x:v>
      </x:c>
      <x:c r="H36" s="17" t="str">
        <x:v>Jalisco silla</x:v>
      </x:c>
      <x:c r="I36" s="17"/>
      <x:c r="J36" s="17" t="str">
        <x:v>aluminio 100%</x:v>
      </x:c>
      <x:c r="K36" s="17"/>
      <x:c r="L36" s="17" t="str">
        <x:v>69*59*79</x:v>
      </x:c>
      <x:c r="M36" s="17" t="str">
        <x:v>69*59*79 exterior Cojines se venden por separado</x:v>
      </x:c>
      <x:c r="N36" s="22" t="str">
        <x:v>pieza</x:v>
      </x:c>
      <x:c r="O36" s="23" t="n">
        <x:v>3999</x:v>
      </x:c>
      <x:c r="P36" s="23" t="n">
        <x:v>4799</x:v>
      </x:c>
      <x:c r="Q36" s="17" t="str">
        <x:v>$4,799 – $3,999 aluminio 100%</x:v>
      </x:c>
      <x:c r="R36" s="22" t="str">
        <x:v>confirmado</x:v>
      </x:c>
      <x:c r="S36" s="22" t="str">
        <x:v>Sí</x:v>
      </x:c>
      <x:c r="T36" s="24"/>
      <x:c r="U36" s="17" t="str">
        <x:v>https://graph.microsoft.com/v1.0/me/drive/items/01DHXXN7YJMCJUVPBWNJEJPJIH7B4OTAUR#page=13</x:v>
      </x:c>
      <x:c r="V36" s="17" t="str">
        <x:v>https://graph.microsoft.com/v1.0/me/drive/items/01DHXXN7YJMCJUVPBWNJEJPJIH7B4OTAUR</x:v>
      </x:c>
      <x:c r="W36" s="17" t="str">
        <x:v>18e2e2accc59c5b8b948cbcdb1af0a8d5b6a8cb3a8b32eb2383e1ff4772c63e1</x:v>
      </x:c>
      <x:c r="X36" s="17" t="str">
        <x:v>SKU no publicado; se conserva una identidad técnica estable.</x:v>
      </x:c>
    </x:row>
    <x:row r="37" ht="34" customHeight="1">
      <x:c r="A37" s="17" t="str">
        <x:v>IDÉLIKA</x:v>
      </x:c>
      <x:c r="B37" s="17" t="str">
        <x:v>Fabricacion</x:v>
      </x:c>
      <x:c r="C37" s="17" t="str">
        <x:v>1 CATALOGO FABRICACION 2026B.pdf</x:v>
      </x:c>
      <x:c r="D37" s="21" t="n">
        <x:v>13</x:v>
      </x:c>
      <x:c r="E37" s="17" t="str">
        <x:v>idelika:fabricacion:sin-sku:213e4a8d8ec4a6f39369</x:v>
      </x:c>
      <x:c r="F37" s="17"/>
      <x:c r="G37" s="22" t="str">
        <x:v>por_verificar</x:v>
      </x:c>
      <x:c r="H37" s="17" t="str">
        <x:v>Jalisco silla</x:v>
      </x:c>
      <x:c r="I37" s="17"/>
      <x:c r="J37" s="17" t="str">
        <x:v>exterior techado</x:v>
      </x:c>
      <x:c r="K37" s="17"/>
      <x:c r="L37" s="17"/>
      <x:c r="M37" s="17" t="str">
        <x:v>69*59*79 exterior Cojines se venden por separado</x:v>
      </x:c>
      <x:c r="N37" s="22" t="str">
        <x:v>pieza</x:v>
      </x:c>
      <x:c r="O37" s="23" t="n">
        <x:v>2699</x:v>
      </x:c>
      <x:c r="P37" s="23" t="n">
        <x:v>3199</x:v>
      </x:c>
      <x:c r="Q37" s="17" t="str">
        <x:v>$3,199 – $2,699 exterior techado</x:v>
      </x:c>
      <x:c r="R37" s="22" t="str">
        <x:v>confirmado</x:v>
      </x:c>
      <x:c r="S37" s="22" t="str">
        <x:v>Sí</x:v>
      </x:c>
      <x:c r="T37" s="24"/>
      <x:c r="U37" s="17" t="str">
        <x:v>https://graph.microsoft.com/v1.0/me/drive/items/01DHXXN7YJMCJUVPBWNJEJPJIH7B4OTAUR#page=13</x:v>
      </x:c>
      <x:c r="V37" s="17" t="str">
        <x:v>https://graph.microsoft.com/v1.0/me/drive/items/01DHXXN7YJMCJUVPBWNJEJPJIH7B4OTAUR</x:v>
      </x:c>
      <x:c r="W37" s="17" t="str">
        <x:v>213e4a8d8ec4a6f39369ca5bedecb0e9d8a9d32809e2f0e5283d6b5019805c15</x:v>
      </x:c>
      <x:c r="X37" s="17" t="str">
        <x:v>SKU no publicado; se conserva una identidad técnica estable.</x:v>
      </x:c>
    </x:row>
    <x:row r="38" ht="34" customHeight="1">
      <x:c r="A38" s="17" t="str">
        <x:v>IDÉLIKA</x:v>
      </x:c>
      <x:c r="B38" s="17" t="str">
        <x:v>Fabricacion</x:v>
      </x:c>
      <x:c r="C38" s="17" t="str">
        <x:v>1 CATALOGO FABRICACION 2026B.pdf</x:v>
      </x:c>
      <x:c r="D38" s="21" t="n">
        <x:v>14</x:v>
      </x:c>
      <x:c r="E38" s="17" t="str">
        <x:v>idelika:fabricacion:sin-sku:0c4f316ebec856e5a035</x:v>
      </x:c>
      <x:c r="F38" s="17"/>
      <x:c r="G38" s="22" t="str">
        <x:v>por_verificar</x:v>
      </x:c>
      <x:c r="H38" s="17" t="str">
        <x:v>Tepoztlán silla</x:v>
      </x:c>
      <x:c r="I38" s="17" t="str">
        <x:v>Tepoztlán</x:v>
      </x:c>
      <x:c r="J38" s="17" t="str">
        <x:v>% exterior</x:v>
      </x:c>
      <x:c r="K38" s="17" t="str">
        <x:v>Acero con pintura electroestática Cuerda (incluye cojín)</x:v>
      </x:c>
      <x:c r="L38" s="17" t="str">
        <x:v>Fabricación 69*59*79</x:v>
      </x:c>
      <x:c r="M38" s="17" t="str">
        <x:v>Acero con pintura electroestática Cuerda (incluye cojín)</x:v>
      </x:c>
      <x:c r="N38" s="22" t="str">
        <x:v>pieza</x:v>
      </x:c>
      <x:c r="O38" s="23" t="n">
        <x:v>4199</x:v>
      </x:c>
      <x:c r="P38" s="23" t="n">
        <x:v>3699100</x:v>
      </x:c>
      <x:c r="Q38" s="17" t="str">
        <x:v>$4,199 – $3,699 100% exterior</x:v>
      </x:c>
      <x:c r="R38" s="22" t="str">
        <x:v>confirmado</x:v>
      </x:c>
      <x:c r="S38" s="22" t="str">
        <x:v>Sí</x:v>
      </x:c>
      <x:c r="T38" s="24"/>
      <x:c r="U38" s="17" t="str">
        <x:v>https://graph.microsoft.com/v1.0/me/drive/items/01DHXXN7YJMCJUVPBWNJEJPJIH7B4OTAUR#page=14</x:v>
      </x:c>
      <x:c r="V38" s="17" t="str">
        <x:v>https://graph.microsoft.com/v1.0/me/drive/items/01DHXXN7YJMCJUVPBWNJEJPJIH7B4OTAUR</x:v>
      </x:c>
      <x:c r="W38" s="17" t="str">
        <x:v>0c4f316ebec856e5a035d1cb6dc3ac8c1988cde3decffdee5765f377559b973d</x:v>
      </x:c>
      <x:c r="X38" s="17" t="str">
        <x:v>SKU no publicado; se conserva una identidad técnica estable.</x:v>
      </x:c>
    </x:row>
    <x:row r="39" ht="34" customHeight="1">
      <x:c r="A39" s="17" t="str">
        <x:v>IDÉLIKA</x:v>
      </x:c>
      <x:c r="B39" s="17" t="str">
        <x:v>Fabricacion</x:v>
      </x:c>
      <x:c r="C39" s="17" t="str">
        <x:v>1 CATALOGO FABRICACION 2026B.pdf</x:v>
      </x:c>
      <x:c r="D39" s="21" t="n">
        <x:v>14</x:v>
      </x:c>
      <x:c r="E39" s="17" t="str">
        <x:v>idelika:fabricacion:sin-sku:3ea58bfff3516492c4c5</x:v>
      </x:c>
      <x:c r="F39" s="17"/>
      <x:c r="G39" s="22" t="str">
        <x:v>por_verificar</x:v>
      </x:c>
      <x:c r="H39" s="17" t="str">
        <x:v>Tepoztlán silla</x:v>
      </x:c>
      <x:c r="I39" s="17" t="str">
        <x:v>Tepoztlán</x:v>
      </x:c>
      <x:c r="J39" s="17" t="str">
        <x:v>exterior techado</x:v>
      </x:c>
      <x:c r="K39" s="17" t="str">
        <x:v>Acero con pintura electroestática Cuerda (incluye cojín)</x:v>
      </x:c>
      <x:c r="L39" s="17"/>
      <x:c r="M39" s="17" t="str">
        <x:v>Acero con pintura electroestática Cuerda (incluye cojín)</x:v>
      </x:c>
      <x:c r="N39" s="22" t="str">
        <x:v>pieza</x:v>
      </x:c>
      <x:c r="O39" s="23" t="n">
        <x:v>2999</x:v>
      </x:c>
      <x:c r="P39" s="23" t="n">
        <x:v>3199</x:v>
      </x:c>
      <x:c r="Q39" s="17" t="str">
        <x:v>$3,199 – $2,999 exterior techado</x:v>
      </x:c>
      <x:c r="R39" s="22" t="str">
        <x:v>confirmado</x:v>
      </x:c>
      <x:c r="S39" s="22" t="str">
        <x:v>Sí</x:v>
      </x:c>
      <x:c r="T39" s="24"/>
      <x:c r="U39" s="17" t="str">
        <x:v>https://graph.microsoft.com/v1.0/me/drive/items/01DHXXN7YJMCJUVPBWNJEJPJIH7B4OTAUR#page=14</x:v>
      </x:c>
      <x:c r="V39" s="17" t="str">
        <x:v>https://graph.microsoft.com/v1.0/me/drive/items/01DHXXN7YJMCJUVPBWNJEJPJIH7B4OTAUR</x:v>
      </x:c>
      <x:c r="W39" s="17" t="str">
        <x:v>3ea58bfff3516492c4c59c24e199b0425d592c5250be327997af30f8bb43d8c3</x:v>
      </x:c>
      <x:c r="X39" s="17" t="str">
        <x:v>SKU no publicado; se conserva una identidad técnica estable.</x:v>
      </x:c>
    </x:row>
    <x:row r="40" ht="34" customHeight="1">
      <x:c r="A40" s="17" t="str">
        <x:v>IDÉLIKA</x:v>
      </x:c>
      <x:c r="B40" s="17" t="str">
        <x:v>Fabricacion</x:v>
      </x:c>
      <x:c r="C40" s="17" t="str">
        <x:v>1 CATALOGO FABRICACION 2026B.pdf</x:v>
      </x:c>
      <x:c r="D40" s="21" t="n">
        <x:v>14</x:v>
      </x:c>
      <x:c r="E40" s="17" t="str">
        <x:v>idelika:fabricacion:sin-sku:eec3f931c149584b328f</x:v>
      </x:c>
      <x:c r="F40" s="17"/>
      <x:c r="G40" s="22" t="str">
        <x:v>por_verificar</x:v>
      </x:c>
      <x:c r="H40" s="17" t="str">
        <x:v>Tepoztlán banco</x:v>
      </x:c>
      <x:c r="I40" s="17" t="str">
        <x:v>Tepoztlán</x:v>
      </x:c>
      <x:c r="J40" s="17" t="str">
        <x:v>% exterior</x:v>
      </x:c>
      <x:c r="K40" s="17" t="str">
        <x:v>Acero con pintura electroestática Cuerda (incluye cojín)</x:v>
      </x:c>
      <x:c r="L40" s="17" t="str">
        <x:v>58*61*100/73 alto</x:v>
      </x:c>
      <x:c r="M40" s="17" t="str">
        <x:v>58*61*93/63 counter 58*61*100/73 alto Acero con pintura electroestática Cuerda (incluye cojín)</x:v>
      </x:c>
      <x:c r="N40" s="22" t="str">
        <x:v>pieza</x:v>
      </x:c>
      <x:c r="O40" s="23" t="n">
        <x:v>4199</x:v>
      </x:c>
      <x:c r="P40" s="23" t="n">
        <x:v>3799100</x:v>
      </x:c>
      <x:c r="Q40" s="17" t="str">
        <x:v>$4,199 – $3,799 100% exterior</x:v>
      </x:c>
      <x:c r="R40" s="22" t="str">
        <x:v>confirmado</x:v>
      </x:c>
      <x:c r="S40" s="22" t="str">
        <x:v>Sí</x:v>
      </x:c>
      <x:c r="T40" s="24"/>
      <x:c r="U40" s="17" t="str">
        <x:v>https://graph.microsoft.com/v1.0/me/drive/items/01DHXXN7YJMCJUVPBWNJEJPJIH7B4OTAUR#page=14</x:v>
      </x:c>
      <x:c r="V40" s="17" t="str">
        <x:v>https://graph.microsoft.com/v1.0/me/drive/items/01DHXXN7YJMCJUVPBWNJEJPJIH7B4OTAUR</x:v>
      </x:c>
      <x:c r="W40" s="17" t="str">
        <x:v>eec3f931c149584b328fd77471153878c3a08d4206b3bb846250ac5c8569695b</x:v>
      </x:c>
      <x:c r="X40" s="17" t="str">
        <x:v>SKU no publicado; se conserva una identidad técnica estable.</x:v>
      </x:c>
    </x:row>
    <x:row r="41" ht="34" customHeight="1">
      <x:c r="A41" s="17" t="str">
        <x:v>IDÉLIKA</x:v>
      </x:c>
      <x:c r="B41" s="17" t="str">
        <x:v>Fabricacion</x:v>
      </x:c>
      <x:c r="C41" s="17" t="str">
        <x:v>1 CATALOGO FABRICACION 2026B.pdf</x:v>
      </x:c>
      <x:c r="D41" s="21" t="n">
        <x:v>14</x:v>
      </x:c>
      <x:c r="E41" s="17" t="str">
        <x:v>idelika:fabricacion:sin-sku:de9e5bcad2d3acf71b6e</x:v>
      </x:c>
      <x:c r="F41" s="17"/>
      <x:c r="G41" s="22" t="str">
        <x:v>por_verificar</x:v>
      </x:c>
      <x:c r="H41" s="17" t="str">
        <x:v>Tepoztlán banco</x:v>
      </x:c>
      <x:c r="I41" s="17" t="str">
        <x:v>Tepoztlán</x:v>
      </x:c>
      <x:c r="J41" s="17" t="str">
        <x:v>exterior techado</x:v>
      </x:c>
      <x:c r="K41" s="17" t="str">
        <x:v>Acero con pintura electroestática Cuerda (incluye cojín)</x:v>
      </x:c>
      <x:c r="L41" s="17"/>
      <x:c r="M41" s="17" t="str">
        <x:v>58*61*93/63 counter 58*61*100/73 alto Acero con pintura electroestática Cuerda (incluye cojín)</x:v>
      </x:c>
      <x:c r="N41" s="22" t="str">
        <x:v>pieza</x:v>
      </x:c>
      <x:c r="O41" s="23" t="n">
        <x:v>3199</x:v>
      </x:c>
      <x:c r="P41" s="23" t="n">
        <x:v>3199</x:v>
      </x:c>
      <x:c r="Q41" s="17" t="str">
        <x:v>$3,199 – $3,199 exterior techado</x:v>
      </x:c>
      <x:c r="R41" s="22" t="str">
        <x:v>confirmado</x:v>
      </x:c>
      <x:c r="S41" s="22" t="str">
        <x:v>Sí</x:v>
      </x:c>
      <x:c r="T41" s="24"/>
      <x:c r="U41" s="17" t="str">
        <x:v>https://graph.microsoft.com/v1.0/me/drive/items/01DHXXN7YJMCJUVPBWNJEJPJIH7B4OTAUR#page=14</x:v>
      </x:c>
      <x:c r="V41" s="17" t="str">
        <x:v>https://graph.microsoft.com/v1.0/me/drive/items/01DHXXN7YJMCJUVPBWNJEJPJIH7B4OTAUR</x:v>
      </x:c>
      <x:c r="W41" s="17" t="str">
        <x:v>de9e5bcad2d3acf71b6e821bae628b10b7d3d014c3abed760d6dc6f83d0db01d</x:v>
      </x:c>
      <x:c r="X41" s="17" t="str">
        <x:v>SKU no publicado; se conserva una identidad técnica estable.</x:v>
      </x:c>
    </x:row>
    <x:row r="42" ht="34" customHeight="1">
      <x:c r="A42" s="17" t="str">
        <x:v>IDÉLIKA</x:v>
      </x:c>
      <x:c r="B42" s="17" t="str">
        <x:v>Fabricacion</x:v>
      </x:c>
      <x:c r="C42" s="17" t="str">
        <x:v>1 CATALOGO FABRICACION 2026B.pdf</x:v>
      </x:c>
      <x:c r="D42" s="21" t="n">
        <x:v>15</x:v>
      </x:c>
      <x:c r="E42" s="17" t="str">
        <x:v>idelika:fabricacion:sin-sku:c3e41e49f37e388466fe</x:v>
      </x:c>
      <x:c r="F42" s="17"/>
      <x:c r="G42" s="22" t="str">
        <x:v>por_verificar</x:v>
      </x:c>
      <x:c r="H42" s="17" t="str">
        <x:v>Tequila banco</x:v>
      </x:c>
      <x:c r="I42" s="17" t="str">
        <x:v>Tequila</x:v>
      </x:c>
      <x:c r="J42" s="17" t="str">
        <x:v>exterior techado</x:v>
      </x:c>
      <x:c r="K42" s="17" t="str">
        <x:v>Acero con pintura electroestática cuerda de multifilamento Acero galvanizado y cuerda textilene</x:v>
      </x:c>
      <x:c r="L42" s="17" t="str">
        <x:v>Fabricación 49*50*82/92</x:v>
      </x:c>
      <x:c r="M42" s="17" t="str">
        <x:v>Acero con pintura electroestática cuerda de multifilamento Acero galvanizado y cuerda textilene Cojinería se vende por separado.</x:v>
      </x:c>
      <x:c r="N42" s="22" t="str">
        <x:v>pieza</x:v>
      </x:c>
      <x:c r="O42" s="23" t="n">
        <x:v>2599</x:v>
      </x:c>
      <x:c r="P42" s="23" t="n">
        <x:v>2799</x:v>
      </x:c>
      <x:c r="Q42" s="17" t="str">
        <x:v>$2,799 – $2,599 exterior techado</x:v>
      </x:c>
      <x:c r="R42" s="22" t="str">
        <x:v>confirmado</x:v>
      </x:c>
      <x:c r="S42" s="22" t="str">
        <x:v>Sí</x:v>
      </x:c>
      <x:c r="T42" s="24"/>
      <x:c r="U42" s="17" t="str">
        <x:v>https://graph.microsoft.com/v1.0/me/drive/items/01DHXXN7YJMCJUVPBWNJEJPJIH7B4OTAUR#page=15</x:v>
      </x:c>
      <x:c r="V42" s="17" t="str">
        <x:v>https://graph.microsoft.com/v1.0/me/drive/items/01DHXXN7YJMCJUVPBWNJEJPJIH7B4OTAUR</x:v>
      </x:c>
      <x:c r="W42" s="17" t="str">
        <x:v>c3e41e49f37e388466feeb5ffdf1154843f7a68751d24f2b881989ee3fad0e71</x:v>
      </x:c>
      <x:c r="X42" s="17" t="str">
        <x:v>SKU no publicado; se conserva una identidad técnica estable.</x:v>
      </x:c>
    </x:row>
    <x:row r="43" ht="34" customHeight="1">
      <x:c r="A43" s="17" t="str">
        <x:v>IDÉLIKA</x:v>
      </x:c>
      <x:c r="B43" s="17" t="str">
        <x:v>Fabricacion</x:v>
      </x:c>
      <x:c r="C43" s="17" t="str">
        <x:v>1 CATALOGO FABRICACION 2026B.pdf</x:v>
      </x:c>
      <x:c r="D43" s="21" t="n">
        <x:v>15</x:v>
      </x:c>
      <x:c r="E43" s="17" t="str">
        <x:v>idelika:fabricacion:sin-sku:33f1edc7fa99ee139a8f</x:v>
      </x:c>
      <x:c r="F43" s="17"/>
      <x:c r="G43" s="22" t="str">
        <x:v>por_verificar</x:v>
      </x:c>
      <x:c r="H43" s="17" t="str">
        <x:v>Tequila banco</x:v>
      </x:c>
      <x:c r="I43" s="17" t="str">
        <x:v>Tequila</x:v>
      </x:c>
      <x:c r="J43" s="17" t="str">
        <x:v>exterior 100%</x:v>
      </x:c>
      <x:c r="K43" s="17" t="str">
        <x:v>Acero con pintura electroestática cuerda de multifilamento Acero galvanizado y cuerda textilene</x:v>
      </x:c>
      <x:c r="L43" s="17"/>
      <x:c r="M43" s="17" t="str">
        <x:v>Acero con pintura electroestática cuerda de multifilamento Acero galvanizado y cuerda textilene Cojinería se vende por separado.</x:v>
      </x:c>
      <x:c r="N43" s="22" t="str">
        <x:v>pieza</x:v>
      </x:c>
      <x:c r="O43" s="23" t="n">
        <x:v>3199</x:v>
      </x:c>
      <x:c r="P43" s="23" t="n">
        <x:v>3499</x:v>
      </x:c>
      <x:c r="Q43" s="17" t="str">
        <x:v>$3,499 – $3,199 exterior 100%</x:v>
      </x:c>
      <x:c r="R43" s="22" t="str">
        <x:v>confirmado</x:v>
      </x:c>
      <x:c r="S43" s="22" t="str">
        <x:v>Sí</x:v>
      </x:c>
      <x:c r="T43" s="24"/>
      <x:c r="U43" s="17" t="str">
        <x:v>https://graph.microsoft.com/v1.0/me/drive/items/01DHXXN7YJMCJUVPBWNJEJPJIH7B4OTAUR#page=15</x:v>
      </x:c>
      <x:c r="V43" s="17" t="str">
        <x:v>https://graph.microsoft.com/v1.0/me/drive/items/01DHXXN7YJMCJUVPBWNJEJPJIH7B4OTAUR</x:v>
      </x:c>
      <x:c r="W43" s="17" t="str">
        <x:v>33f1edc7fa99ee139a8f20c175b1ad0c5e8fc1d8728b75f916fde7c4fc32c508</x:v>
      </x:c>
      <x:c r="X43" s="17" t="str">
        <x:v>SKU no publicado; se conserva una identidad técnica estable.</x:v>
      </x:c>
    </x:row>
    <x:row r="44" ht="34" customHeight="1">
      <x:c r="A44" s="17" t="str">
        <x:v>IDÉLIKA</x:v>
      </x:c>
      <x:c r="B44" s="17" t="str">
        <x:v>Fabricacion</x:v>
      </x:c>
      <x:c r="C44" s="17" t="str">
        <x:v>1 CATALOGO FABRICACION 2026B.pdf</x:v>
      </x:c>
      <x:c r="D44" s="21" t="n">
        <x:v>15</x:v>
      </x:c>
      <x:c r="E44" s="17" t="str">
        <x:v>idelika:fabricacion:sin-sku:38afccf394cf94683338</x:v>
      </x:c>
      <x:c r="F44" s="17"/>
      <x:c r="G44" s="22" t="str">
        <x:v>por_verificar</x:v>
      </x:c>
      <x:c r="H44" s="17" t="str">
        <x:v>Tequila silla</x:v>
      </x:c>
      <x:c r="I44" s="17" t="str">
        <x:v>Tequila</x:v>
      </x:c>
      <x:c r="J44" s="17" t="str">
        <x:v>exterior techado</x:v>
      </x:c>
      <x:c r="K44" s="17" t="str">
        <x:v>Acero con pintura electroestática cuerda de multifilamento Acero galvanizado y cuerda textilene</x:v>
      </x:c>
      <x:c r="L44" s="17" t="str">
        <x:v>Fabricación 41*50*77</x:v>
      </x:c>
      <x:c r="M44" s="17" t="str">
        <x:v>Acero con pintura electroestática cuerda de multifilamento Acero galvanizado y cuerda textilene Cojinería se vende por separado.</x:v>
      </x:c>
      <x:c r="N44" s="22" t="str">
        <x:v>pieza</x:v>
      </x:c>
      <x:c r="O44" s="23" t="n">
        <x:v>2399</x:v>
      </x:c>
      <x:c r="P44" s="23" t="n">
        <x:v>2599</x:v>
      </x:c>
      <x:c r="Q44" s="17" t="str">
        <x:v>$2,599 – $2,399 exterior techado</x:v>
      </x:c>
      <x:c r="R44" s="22" t="str">
        <x:v>confirmado</x:v>
      </x:c>
      <x:c r="S44" s="22" t="str">
        <x:v>Sí</x:v>
      </x:c>
      <x:c r="T44" s="24"/>
      <x:c r="U44" s="17" t="str">
        <x:v>https://graph.microsoft.com/v1.0/me/drive/items/01DHXXN7YJMCJUVPBWNJEJPJIH7B4OTAUR#page=15</x:v>
      </x:c>
      <x:c r="V44" s="17" t="str">
        <x:v>https://graph.microsoft.com/v1.0/me/drive/items/01DHXXN7YJMCJUVPBWNJEJPJIH7B4OTAUR</x:v>
      </x:c>
      <x:c r="W44" s="17" t="str">
        <x:v>38afccf394cf94683338ef3e3cf7e78d2646ee35bde1b1044b9ae0772f34ed32</x:v>
      </x:c>
      <x:c r="X44" s="17" t="str">
        <x:v>SKU no publicado; se conserva una identidad técnica estable.</x:v>
      </x:c>
    </x:row>
    <x:row r="45" ht="34" customHeight="1">
      <x:c r="A45" s="17" t="str">
        <x:v>IDÉLIKA</x:v>
      </x:c>
      <x:c r="B45" s="17" t="str">
        <x:v>Fabricacion</x:v>
      </x:c>
      <x:c r="C45" s="17" t="str">
        <x:v>1 CATALOGO FABRICACION 2026B.pdf</x:v>
      </x:c>
      <x:c r="D45" s="21" t="n">
        <x:v>15</x:v>
      </x:c>
      <x:c r="E45" s="17" t="str">
        <x:v>idelika:fabricacion:sin-sku:1b62d1006a40d10315c3</x:v>
      </x:c>
      <x:c r="F45" s="17"/>
      <x:c r="G45" s="22" t="str">
        <x:v>por_verificar</x:v>
      </x:c>
      <x:c r="H45" s="17" t="str">
        <x:v>Tequila silla</x:v>
      </x:c>
      <x:c r="I45" s="17" t="str">
        <x:v>Tequila</x:v>
      </x:c>
      <x:c r="J45" s="17" t="str">
        <x:v>exterior 100%</x:v>
      </x:c>
      <x:c r="K45" s="17" t="str">
        <x:v>Acero con pintura electroestática cuerda de multifilamento Acero galvanizado y cuerda textilene</x:v>
      </x:c>
      <x:c r="L45" s="17"/>
      <x:c r="M45" s="17" t="str">
        <x:v>Acero con pintura electroestática cuerda de multifilamento Acero galvanizado y cuerda textilene Cojinería se vende por separado.</x:v>
      </x:c>
      <x:c r="N45" s="22" t="str">
        <x:v>pieza</x:v>
      </x:c>
      <x:c r="O45" s="23" t="n">
        <x:v>2999</x:v>
      </x:c>
      <x:c r="P45" s="23" t="n">
        <x:v>3299</x:v>
      </x:c>
      <x:c r="Q45" s="17" t="str">
        <x:v>$3,299 – $2,999 exterior 100%</x:v>
      </x:c>
      <x:c r="R45" s="22" t="str">
        <x:v>confirmado</x:v>
      </x:c>
      <x:c r="S45" s="22" t="str">
        <x:v>Sí</x:v>
      </x:c>
      <x:c r="T45" s="24"/>
      <x:c r="U45" s="17" t="str">
        <x:v>https://graph.microsoft.com/v1.0/me/drive/items/01DHXXN7YJMCJUVPBWNJEJPJIH7B4OTAUR#page=15</x:v>
      </x:c>
      <x:c r="V45" s="17" t="str">
        <x:v>https://graph.microsoft.com/v1.0/me/drive/items/01DHXXN7YJMCJUVPBWNJEJPJIH7B4OTAUR</x:v>
      </x:c>
      <x:c r="W45" s="17" t="str">
        <x:v>1b62d1006a40d10315c3c19ee1dcb57e4d6e89c7b1bd40ed6f4f6dec5f659da3</x:v>
      </x:c>
      <x:c r="X45" s="17" t="str">
        <x:v>SKU no publicado; se conserva una identidad técnica estable.</x:v>
      </x:c>
    </x:row>
    <x:row r="46" ht="34" customHeight="1">
      <x:c r="A46" s="17" t="str">
        <x:v>IDÉLIKA</x:v>
      </x:c>
      <x:c r="B46" s="17" t="str">
        <x:v>Fabricacion</x:v>
      </x:c>
      <x:c r="C46" s="17" t="str">
        <x:v>1 CATALOGO FABRICACION 2026B.pdf</x:v>
      </x:c>
      <x:c r="D46" s="21" t="n">
        <x:v>17</x:v>
      </x:c>
      <x:c r="E46" s="17" t="str">
        <x:v>idelika:fabricacion:sin-sku:e9c7e2d8d78972c1b07e</x:v>
      </x:c>
      <x:c r="F46" s="17"/>
      <x:c r="G46" s="22" t="str">
        <x:v>por_verificar</x:v>
      </x:c>
      <x:c r="H46" s="17" t="str">
        <x:v>Zamora silla</x:v>
      </x:c>
      <x:c r="I46" s="17" t="str">
        <x:v>Zamora</x:v>
      </x:c>
      <x:c r="J46" s="17"/>
      <x:c r="K46" s="17" t="str">
        <x:v>Acero con pintura Electroestática, cuerda</x:v>
      </x:c>
      <x:c r="L46" s="17" t="str">
        <x:v>49*56*82</x:v>
      </x:c>
      <x:c r="M46" s="17" t="str">
        <x:v>Acero con pintura Electroestática, cuerda Uso exterior techado (no incluye cojín) 49*56*82</x:v>
      </x:c>
      <x:c r="N46" s="22" t="str">
        <x:v>pieza</x:v>
      </x:c>
      <x:c r="O46" s="23" t="n">
        <x:v>3499</x:v>
      </x:c>
      <x:c r="P46" s="23" t="n">
        <x:v>3990</x:v>
      </x:c>
      <x:c r="Q46" s="17" t="str">
        <x:v>$3,990 – $3,499</x:v>
      </x:c>
      <x:c r="R46" s="22" t="str">
        <x:v>confirmado</x:v>
      </x:c>
      <x:c r="S46" s="22" t="str">
        <x:v>Sí</x:v>
      </x:c>
      <x:c r="T46" s="24"/>
      <x:c r="U46" s="17" t="str">
        <x:v>https://graph.microsoft.com/v1.0/me/drive/items/01DHXXN7YJMCJUVPBWNJEJPJIH7B4OTAUR#page=17</x:v>
      </x:c>
      <x:c r="V46" s="17" t="str">
        <x:v>https://graph.microsoft.com/v1.0/me/drive/items/01DHXXN7YJMCJUVPBWNJEJPJIH7B4OTAUR</x:v>
      </x:c>
      <x:c r="W46" s="17" t="str">
        <x:v>e9c7e2d8d78972c1b07e103ace390329ca9a0c6072f640b3a995328c055be0ba</x:v>
      </x:c>
      <x:c r="X46" s="17" t="str">
        <x:v>SKU no publicado; se conserva una identidad técnica estable.</x:v>
      </x:c>
    </x:row>
    <x:row r="47" ht="34" customHeight="1">
      <x:c r="A47" s="17" t="str">
        <x:v>IDÉLIKA</x:v>
      </x:c>
      <x:c r="B47" s="17" t="str">
        <x:v>Fabricacion</x:v>
      </x:c>
      <x:c r="C47" s="17" t="str">
        <x:v>1 CATALOGO FABRICACION 2026B.pdf</x:v>
      </x:c>
      <x:c r="D47" s="21" t="n">
        <x:v>18</x:v>
      </x:c>
      <x:c r="E47" s="17" t="str">
        <x:v>idelika:fabricacion:sin-sku:1828f1f85672aecfb11e</x:v>
      </x:c>
      <x:c r="F47" s="17"/>
      <x:c r="G47" s="22" t="str">
        <x:v>por_verificar</x:v>
      </x:c>
      <x:c r="H47" s="17" t="str">
        <x:v>Cocula Banco</x:v>
      </x:c>
      <x:c r="I47" s="17" t="str">
        <x:v>Cocula</x:v>
      </x:c>
      <x:c r="J47" s="17" t="str">
        <x:v>exterior techado</x:v>
      </x:c>
      <x:c r="K47" s="17" t="str">
        <x:v>Acero con pintura electroestática , cuerda de multifilamento Acero galvanizado con pintura electroestática cuerda textilene</x:v>
      </x:c>
      <x:c r="L47" s="17" t="str">
        <x:v>Fabricación 48*46*108</x:v>
      </x:c>
      <x:c r="M47" s="17" t="str">
        <x:v>Acero con pintura electroestática , cuerda de multifilamento Acero galvanizado con pintura electroestática cuerda textilene</x:v>
      </x:c>
      <x:c r="N47" s="22" t="str">
        <x:v>pieza</x:v>
      </x:c>
      <x:c r="O47" s="23" t="n">
        <x:v>3199</x:v>
      </x:c>
      <x:c r="P47" s="23" t="n">
        <x:v>3499</x:v>
      </x:c>
      <x:c r="Q47" s="17" t="str">
        <x:v>$3,499 – $3,199 exterior techado</x:v>
      </x:c>
      <x:c r="R47" s="22" t="str">
        <x:v>confirmado</x:v>
      </x:c>
      <x:c r="S47" s="22" t="str">
        <x:v>Sí</x:v>
      </x:c>
      <x:c r="T47" s="24"/>
      <x:c r="U47" s="17" t="str">
        <x:v>https://graph.microsoft.com/v1.0/me/drive/items/01DHXXN7YJMCJUVPBWNJEJPJIH7B4OTAUR#page=18</x:v>
      </x:c>
      <x:c r="V47" s="17" t="str">
        <x:v>https://graph.microsoft.com/v1.0/me/drive/items/01DHXXN7YJMCJUVPBWNJEJPJIH7B4OTAUR</x:v>
      </x:c>
      <x:c r="W47" s="17" t="str">
        <x:v>1828f1f85672aecfb11e679337146429d9fa7c69f2d9091aa3515b2b40557bc4</x:v>
      </x:c>
      <x:c r="X47" s="17" t="str">
        <x:v>SKU no publicado; se conserva una identidad técnica estable.</x:v>
      </x:c>
    </x:row>
    <x:row r="48" ht="34" customHeight="1">
      <x:c r="A48" s="17" t="str">
        <x:v>IDÉLIKA</x:v>
      </x:c>
      <x:c r="B48" s="17" t="str">
        <x:v>Fabricacion</x:v>
      </x:c>
      <x:c r="C48" s="17" t="str">
        <x:v>1 CATALOGO FABRICACION 2026B.pdf</x:v>
      </x:c>
      <x:c r="D48" s="21" t="n">
        <x:v>18</x:v>
      </x:c>
      <x:c r="E48" s="17" t="str">
        <x:v>idelika:fabricacion:sin-sku:b6c43a17125492ca9688</x:v>
      </x:c>
      <x:c r="F48" s="17"/>
      <x:c r="G48" s="22" t="str">
        <x:v>por_verificar</x:v>
      </x:c>
      <x:c r="H48" s="17" t="str">
        <x:v>Cocula Banco</x:v>
      </x:c>
      <x:c r="I48" s="17" t="str">
        <x:v>Cocula</x:v>
      </x:c>
      <x:c r="J48" s="17" t="str">
        <x:v>exterior 100%</x:v>
      </x:c>
      <x:c r="K48" s="17" t="str">
        <x:v>Acero con pintura electroestática , cuerda de multifilamento Acero galvanizado con pintura electroestática cuerda textilene</x:v>
      </x:c>
      <x:c r="L48" s="17"/>
      <x:c r="M48" s="17" t="str">
        <x:v>Acero con pintura electroestática , cuerda de multifilamento Acero galvanizado con pintura electroestática cuerda textilene</x:v>
      </x:c>
      <x:c r="N48" s="22" t="str">
        <x:v>pieza</x:v>
      </x:c>
      <x:c r="O48" s="23" t="n">
        <x:v>3799</x:v>
      </x:c>
      <x:c r="P48" s="23" t="n">
        <x:v>3999</x:v>
      </x:c>
      <x:c r="Q48" s="17" t="str">
        <x:v>$3,999 – $3,799 exterior 100%</x:v>
      </x:c>
      <x:c r="R48" s="22" t="str">
        <x:v>confirmado</x:v>
      </x:c>
      <x:c r="S48" s="22" t="str">
        <x:v>Sí</x:v>
      </x:c>
      <x:c r="T48" s="24"/>
      <x:c r="U48" s="17" t="str">
        <x:v>https://graph.microsoft.com/v1.0/me/drive/items/01DHXXN7YJMCJUVPBWNJEJPJIH7B4OTAUR#page=18</x:v>
      </x:c>
      <x:c r="V48" s="17" t="str">
        <x:v>https://graph.microsoft.com/v1.0/me/drive/items/01DHXXN7YJMCJUVPBWNJEJPJIH7B4OTAUR</x:v>
      </x:c>
      <x:c r="W48" s="17" t="str">
        <x:v>b6c43a17125492ca9688d00355134ac6c260c593ad8522cdadca174f1d1762ae</x:v>
      </x:c>
      <x:c r="X48" s="17" t="str">
        <x:v>SKU no publicado; se conserva una identidad técnica estable.</x:v>
      </x:c>
    </x:row>
    <x:row r="49" ht="34" customHeight="1">
      <x:c r="A49" s="17" t="str">
        <x:v>IDÉLIKA</x:v>
      </x:c>
      <x:c r="B49" s="17" t="str">
        <x:v>Fabricacion</x:v>
      </x:c>
      <x:c r="C49" s="17" t="str">
        <x:v>1 CATALOGO FABRICACION 2026B.pdf</x:v>
      </x:c>
      <x:c r="D49" s="21" t="n">
        <x:v>20</x:v>
      </x:c>
      <x:c r="E49" s="17" t="str">
        <x:v>idelika:fabricacion:sin-sku:dbaa876f688e6b559549</x:v>
      </x:c>
      <x:c r="F49" s="17"/>
      <x:c r="G49" s="22" t="str">
        <x:v>por_verificar</x:v>
      </x:c>
      <x:c r="H49" s="17" t="str">
        <x:v>Acapulco banco Hexagonal</x:v>
      </x:c>
      <x:c r="I49" s="17" t="str">
        <x:v>Acapulco</x:v>
      </x:c>
      <x:c r="J49" s="17"/>
      <x:c r="K49" s="17" t="str">
        <x:v>Acero con pintura Cuerda de multifilamento De polipropileno</x:v>
      </x:c>
      <x:c r="L49" s="17" t="str">
        <x:v>45*40*100/75</x:v>
      </x:c>
      <x:c r="M49" s="17" t="str">
        <x:v>Acero con pintura electroestática Cuerda de multifilamento De polipropileno 45*40*100/75</x:v>
      </x:c>
      <x:c r="N49" s="22" t="str">
        <x:v>pieza</x:v>
      </x:c>
      <x:c r="O49" s="23" t="n">
        <x:v>2699</x:v>
      </x:c>
      <x:c r="P49" s="23" t="n">
        <x:v>2900</x:v>
      </x:c>
      <x:c r="Q49" s="17" t="str">
        <x:v>$2,900 – $2,699</x:v>
      </x:c>
      <x:c r="R49" s="22" t="str">
        <x:v>confirmado</x:v>
      </x:c>
      <x:c r="S49" s="22" t="str">
        <x:v>Sí</x:v>
      </x:c>
      <x:c r="T49" s="24"/>
      <x:c r="U49" s="17" t="str">
        <x:v>https://graph.microsoft.com/v1.0/me/drive/items/01DHXXN7YJMCJUVPBWNJEJPJIH7B4OTAUR#page=20</x:v>
      </x:c>
      <x:c r="V49" s="17" t="str">
        <x:v>https://graph.microsoft.com/v1.0/me/drive/items/01DHXXN7YJMCJUVPBWNJEJPJIH7B4OTAUR</x:v>
      </x:c>
      <x:c r="W49" s="17" t="str">
        <x:v>dbaa876f688e6b55954946131232ba2460f35cd0e812f123c5b133595e34df34</x:v>
      </x:c>
      <x:c r="X49" s="17" t="str">
        <x:v>SKU no publicado; se conserva una identidad técnica estable.</x:v>
      </x:c>
    </x:row>
    <x:row r="50" ht="34" customHeight="1">
      <x:c r="A50" s="17" t="str">
        <x:v>IDÉLIKA</x:v>
      </x:c>
      <x:c r="B50" s="17" t="str">
        <x:v>Fabricacion</x:v>
      </x:c>
      <x:c r="C50" s="17" t="str">
        <x:v>1 CATALOGO FABRICACION 2026B.pdf</x:v>
      </x:c>
      <x:c r="D50" s="21" t="n">
        <x:v>22</x:v>
      </x:c>
      <x:c r="E50" s="17" t="str">
        <x:v>idelika:fabricacion:sin-sku:ad38e05e91da9d495cab</x:v>
      </x:c>
      <x:c r="F50" s="17"/>
      <x:c r="G50" s="22" t="str">
        <x:v>por_verificar</x:v>
      </x:c>
      <x:c r="H50" s="17" t="str">
        <x:v>Set 3+1+1+mesa</x:v>
      </x:c>
      <x:c r="I50" s="17" t="str">
        <x:v>Vallarta</x:v>
      </x:c>
      <x:c r="J50" s="17" t="str">
        <x:v>exterior techado</x:v>
      </x:c>
      <x:c r="K50" s="17" t="str">
        <x:v>Acero con pintura electroestática</x:v>
      </x:c>
      <x:c r="L50" s="17"/>
      <x:c r="M50" s="17" t="str">
        <x:v>Acero con pintura electroestática Uso exterior techado (Galvanízala y úsala 100% exterior)</x:v>
      </x:c>
      <x:c r="N50" s="22" t="str">
        <x:v>pieza</x:v>
      </x:c>
      <x:c r="O50" s="23" t="n">
        <x:v>37960</x:v>
      </x:c>
      <x:c r="P50" s="23" t="n">
        <x:v>44990</x:v>
      </x:c>
      <x:c r="Q50" s="17" t="str">
        <x:v>$44,990 – $37,960 exterior techado</x:v>
      </x:c>
      <x:c r="R50" s="22" t="str">
        <x:v>confirmado</x:v>
      </x:c>
      <x:c r="S50" s="22" t="str">
        <x:v>Sí</x:v>
      </x:c>
      <x:c r="T50" s="24"/>
      <x:c r="U50" s="17" t="str">
        <x:v>https://graph.microsoft.com/v1.0/me/drive/items/01DHXXN7YJMCJUVPBWNJEJPJIH7B4OTAUR#page=22</x:v>
      </x:c>
      <x:c r="V50" s="17" t="str">
        <x:v>https://graph.microsoft.com/v1.0/me/drive/items/01DHXXN7YJMCJUVPBWNJEJPJIH7B4OTAUR</x:v>
      </x:c>
      <x:c r="W50" s="17" t="str">
        <x:v>ad38e05e91da9d495cabb691fe049f26d4891bed278cee856391bd87cbaee8c8</x:v>
      </x:c>
      <x:c r="X50" s="17" t="str">
        <x:v>SKU no publicado; se conserva una identidad técnica estable.</x:v>
      </x:c>
    </x:row>
    <x:row r="51" ht="34" customHeight="1">
      <x:c r="A51" s="17" t="str">
        <x:v>IDÉLIKA</x:v>
      </x:c>
      <x:c r="B51" s="17" t="str">
        <x:v>Fabricacion</x:v>
      </x:c>
      <x:c r="C51" s="17" t="str">
        <x:v>1 CATALOGO FABRICACION 2026B.pdf</x:v>
      </x:c>
      <x:c r="D51" s="21" t="n">
        <x:v>22</x:v>
      </x:c>
      <x:c r="E51" s="17" t="str">
        <x:v>idelika:fabricacion:sin-sku:302a61646ca309259d5e</x:v>
      </x:c>
      <x:c r="F51" s="17"/>
      <x:c r="G51" s="22" t="str">
        <x:v>por_verificar</x:v>
      </x:c>
      <x:c r="H51" s="17" t="str">
        <x:v>Set 3+1+1+mesa</x:v>
      </x:c>
      <x:c r="I51" s="17" t="str">
        <x:v>Vallarta</x:v>
      </x:c>
      <x:c r="J51" s="17" t="str">
        <x:v>exterior 100%</x:v>
      </x:c>
      <x:c r="K51" s="17" t="str">
        <x:v>Acero con pintura electroestática</x:v>
      </x:c>
      <x:c r="L51" s="17"/>
      <x:c r="M51" s="17" t="str">
        <x:v>Acero con pintura electroestática Uso exterior techado (Galvanízala y úsala 100% exterior)</x:v>
      </x:c>
      <x:c r="N51" s="22" t="str">
        <x:v>pieza</x:v>
      </x:c>
      <x:c r="O51" s="23" t="n">
        <x:v>45960</x:v>
      </x:c>
      <x:c r="P51" s="23" t="n">
        <x:v>45990</x:v>
      </x:c>
      <x:c r="Q51" s="17" t="str">
        <x:v>$45,990 – $45,960 exterior 100%</x:v>
      </x:c>
      <x:c r="R51" s="22" t="str">
        <x:v>confirmado</x:v>
      </x:c>
      <x:c r="S51" s="22" t="str">
        <x:v>Sí</x:v>
      </x:c>
      <x:c r="T51" s="24"/>
      <x:c r="U51" s="17" t="str">
        <x:v>https://graph.microsoft.com/v1.0/me/drive/items/01DHXXN7YJMCJUVPBWNJEJPJIH7B4OTAUR#page=22</x:v>
      </x:c>
      <x:c r="V51" s="17" t="str">
        <x:v>https://graph.microsoft.com/v1.0/me/drive/items/01DHXXN7YJMCJUVPBWNJEJPJIH7B4OTAUR</x:v>
      </x:c>
      <x:c r="W51" s="17" t="str">
        <x:v>302a61646ca309259d5e0ceacb050813c08062c378c1ecfa6f53ec6e7d75f31e</x:v>
      </x:c>
      <x:c r="X51" s="17" t="str">
        <x:v>SKU no publicado; se conserva una identidad técnica estable.</x:v>
      </x:c>
    </x:row>
    <x:row r="52" ht="34" customHeight="1">
      <x:c r="A52" s="17" t="str">
        <x:v>IDÉLIKA</x:v>
      </x:c>
      <x:c r="B52" s="17" t="str">
        <x:v>Fabricacion</x:v>
      </x:c>
      <x:c r="C52" s="17" t="str">
        <x:v>1 CATALOGO FABRICACION 2026B.pdf</x:v>
      </x:c>
      <x:c r="D52" s="21" t="n">
        <x:v>23</x:v>
      </x:c>
      <x:c r="E52" s="17" t="str">
        <x:v>idelika:fabricacion:sin-sku:fd3865c27acb9ac75556</x:v>
      </x:c>
      <x:c r="F52" s="17"/>
      <x:c r="G52" s="22" t="str">
        <x:v>por_verificar</x:v>
      </x:c>
      <x:c r="H52" s="17" t="str">
        <x:v>Vallarta camastro</x:v>
      </x:c>
      <x:c r="I52" s="17" t="str">
        <x:v>Vallarta</x:v>
      </x:c>
      <x:c r="J52" s="17"/>
      <x:c r="K52" s="17" t="str">
        <x:v>Acero Galvanizado Loneta 100% exterior</x:v>
      </x:c>
      <x:c r="L52" s="17" t="str">
        <x:v>71*122*80</x:v>
      </x:c>
      <x:c r="M52" s="17" t="str">
        <x:v>Acero Galvanizado Con pintura electroestática Loneta 100% exterior 71*122*80 Vallarta</x:v>
      </x:c>
      <x:c r="N52" s="22" t="str">
        <x:v>pieza</x:v>
      </x:c>
      <x:c r="O52" s="23" t="n">
        <x:v>12990</x:v>
      </x:c>
      <x:c r="P52" s="23" t="n">
        <x:v>13990</x:v>
      </x:c>
      <x:c r="Q52" s="17" t="str">
        <x:v>$13,990 – $12,990</x:v>
      </x:c>
      <x:c r="R52" s="22" t="str">
        <x:v>confirmado</x:v>
      </x:c>
      <x:c r="S52" s="22" t="str">
        <x:v>Sí</x:v>
      </x:c>
      <x:c r="T52" s="24"/>
      <x:c r="U52" s="17" t="str">
        <x:v>https://graph.microsoft.com/v1.0/me/drive/items/01DHXXN7YJMCJUVPBWNJEJPJIH7B4OTAUR#page=23</x:v>
      </x:c>
      <x:c r="V52" s="17" t="str">
        <x:v>https://graph.microsoft.com/v1.0/me/drive/items/01DHXXN7YJMCJUVPBWNJEJPJIH7B4OTAUR</x:v>
      </x:c>
      <x:c r="W52" s="17" t="str">
        <x:v>fd3865c27acb9ac755560a9cdb2c7249dc618cbd3d397ffc8b12a6afb3e50a6a</x:v>
      </x:c>
      <x:c r="X52" s="17" t="str">
        <x:v>SKU no publicado; se conserva una identidad técnica estable.</x:v>
      </x:c>
    </x:row>
    <x:row r="53" ht="34" customHeight="1">
      <x:c r="A53" s="17" t="str">
        <x:v>IDÉLIKA</x:v>
      </x:c>
      <x:c r="B53" s="17" t="str">
        <x:v>Fabricacion</x:v>
      </x:c>
      <x:c r="C53" s="17" t="str">
        <x:v>1 CATALOGO FABRICACION 2026B.pdf</x:v>
      </x:c>
      <x:c r="D53" s="21" t="n">
        <x:v>23</x:v>
      </x:c>
      <x:c r="E53" s="17" t="str">
        <x:v>idelika:fabricacion:sin-sku:f77d64b6eada14909a77</x:v>
      </x:c>
      <x:c r="F53" s="17"/>
      <x:c r="G53" s="22" t="str">
        <x:v>por_verificar</x:v>
      </x:c>
      <x:c r="H53" s="17" t="str">
        <x:v>Vallarta mesa centro</x:v>
      </x:c>
      <x:c r="I53" s="17" t="str">
        <x:v>Vallarta</x:v>
      </x:c>
      <x:c r="J53" s="17" t="str">
        <x:v>exterior techado</x:v>
      </x:c>
      <x:c r="K53" s="17" t="str">
        <x:v>Acero con pintura</x:v>
      </x:c>
      <x:c r="L53" s="17" t="str">
        <x:v>110*55*45 alto</x:v>
      </x:c>
      <x:c r="M53" s="17" t="str">
        <x:v>Acero con pintura Electroestática 110*55*45 alto Pregunta por todas las configuraciones</x:v>
      </x:c>
      <x:c r="N53" s="22" t="str">
        <x:v>pieza</x:v>
      </x:c>
      <x:c r="O53" s="23" t="n">
        <x:v>5990</x:v>
      </x:c>
      <x:c r="P53" s="23" t="n">
        <x:v>6990</x:v>
      </x:c>
      <x:c r="Q53" s="17" t="str">
        <x:v>$6,990 – $5,990 exterior techado</x:v>
      </x:c>
      <x:c r="R53" s="22" t="str">
        <x:v>confirmado</x:v>
      </x:c>
      <x:c r="S53" s="22" t="str">
        <x:v>Sí</x:v>
      </x:c>
      <x:c r="T53" s="24"/>
      <x:c r="U53" s="17" t="str">
        <x:v>https://graph.microsoft.com/v1.0/me/drive/items/01DHXXN7YJMCJUVPBWNJEJPJIH7B4OTAUR#page=23</x:v>
      </x:c>
      <x:c r="V53" s="17" t="str">
        <x:v>https://graph.microsoft.com/v1.0/me/drive/items/01DHXXN7YJMCJUVPBWNJEJPJIH7B4OTAUR</x:v>
      </x:c>
      <x:c r="W53" s="17" t="str">
        <x:v>f77d64b6eada14909a7742b2d7b1ca4836e115e36488e3280eff299e9466ba80</x:v>
      </x:c>
      <x:c r="X53" s="17" t="str">
        <x:v>SKU no publicado; se conserva una identidad técnica estable.</x:v>
      </x:c>
    </x:row>
    <x:row r="54" ht="34" customHeight="1">
      <x:c r="A54" s="17" t="str">
        <x:v>IDÉLIKA</x:v>
      </x:c>
      <x:c r="B54" s="17" t="str">
        <x:v>Fabricacion</x:v>
      </x:c>
      <x:c r="C54" s="17" t="str">
        <x:v>1 CATALOGO FABRICACION 2026B.pdf</x:v>
      </x:c>
      <x:c r="D54" s="21" t="n">
        <x:v>23</x:v>
      </x:c>
      <x:c r="E54" s="17" t="str">
        <x:v>idelika:fabricacion:sin-sku:82772c6a5a71726d3a4f</x:v>
      </x:c>
      <x:c r="F54" s="17"/>
      <x:c r="G54" s="22" t="str">
        <x:v>por_verificar</x:v>
      </x:c>
      <x:c r="H54" s="17" t="str">
        <x:v>Vallarta mesa centro</x:v>
      </x:c>
      <x:c r="I54" s="17" t="str">
        <x:v>Vallarta</x:v>
      </x:c>
      <x:c r="J54" s="17" t="str">
        <x:v>exterior 100%</x:v>
      </x:c>
      <x:c r="K54" s="17" t="str">
        <x:v>Acero con pintura</x:v>
      </x:c>
      <x:c r="L54" s="17"/>
      <x:c r="M54" s="17" t="str">
        <x:v>Acero con pintura Electroestática 110*55*45 alto Pregunta por todas las configuraciones</x:v>
      </x:c>
      <x:c r="N54" s="22" t="str">
        <x:v>pieza</x:v>
      </x:c>
      <x:c r="O54" s="23" t="n">
        <x:v>6990</x:v>
      </x:c>
      <x:c r="P54" s="23" t="n">
        <x:v>7990</x:v>
      </x:c>
      <x:c r="Q54" s="17" t="str">
        <x:v>$7,990 – $6,990 exterior 100%</x:v>
      </x:c>
      <x:c r="R54" s="22" t="str">
        <x:v>confirmado</x:v>
      </x:c>
      <x:c r="S54" s="22" t="str">
        <x:v>Sí</x:v>
      </x:c>
      <x:c r="T54" s="24"/>
      <x:c r="U54" s="17" t="str">
        <x:v>https://graph.microsoft.com/v1.0/me/drive/items/01DHXXN7YJMCJUVPBWNJEJPJIH7B4OTAUR#page=23</x:v>
      </x:c>
      <x:c r="V54" s="17" t="str">
        <x:v>https://graph.microsoft.com/v1.0/me/drive/items/01DHXXN7YJMCJUVPBWNJEJPJIH7B4OTAUR</x:v>
      </x:c>
      <x:c r="W54" s="17" t="str">
        <x:v>82772c6a5a71726d3a4f3803670eeb330c18e2f233c99d7e02d1a2acbc001d79</x:v>
      </x:c>
      <x:c r="X54" s="17" t="str">
        <x:v>SKU no publicado; se conserva una identidad técnica estable.</x:v>
      </x:c>
    </x:row>
    <x:row r="55" ht="34" customHeight="1">
      <x:c r="A55" s="17" t="str">
        <x:v>IDÉLIKA</x:v>
      </x:c>
      <x:c r="B55" s="17" t="str">
        <x:v>Fabricacion</x:v>
      </x:c>
      <x:c r="C55" s="17" t="str">
        <x:v>1 CATALOGO FABRICACION 2026B.pdf</x:v>
      </x:c>
      <x:c r="D55" s="21" t="n">
        <x:v>24</x:v>
      </x:c>
      <x:c r="E55" s="17" t="str">
        <x:v>idelika:fabricacion:sin-sku:7a77d766383d854acaf4</x:v>
      </x:c>
      <x:c r="F55" s="17"/>
      <x:c r="G55" s="22" t="str">
        <x:v>por_verificar</x:v>
      </x:c>
      <x:c r="H55" s="17" t="str">
        <x:v>Silla Chantepec</x:v>
      </x:c>
      <x:c r="I55" s="17" t="str">
        <x:v>Vallarta</x:v>
      </x:c>
      <x:c r="J55" s="17"/>
      <x:c r="K55" s="17" t="str">
        <x:v>Aluminio y cuerda</x:v>
      </x:c>
      <x:c r="L55" s="17" t="str">
        <x:v>60*67*80 alto</x:v>
      </x:c>
      <x:c r="M55" s="17" t="str">
        <x:v>Aluminio y cuerda 60*67*80 alto</x:v>
      </x:c>
      <x:c r="N55" s="22" t="str">
        <x:v>pieza</x:v>
      </x:c>
      <x:c r="O55" s="23" t="n">
        <x:v>5990</x:v>
      </x:c>
      <x:c r="P55" s="23" t="n">
        <x:v>6990</x:v>
      </x:c>
      <x:c r="Q55" s="17" t="str">
        <x:v>$6,990 – $5,990</x:v>
      </x:c>
      <x:c r="R55" s="22" t="str">
        <x:v>confirmado</x:v>
      </x:c>
      <x:c r="S55" s="22" t="str">
        <x:v>Sí</x:v>
      </x:c>
      <x:c r="T55" s="24"/>
      <x:c r="U55" s="17" t="str">
        <x:v>https://graph.microsoft.com/v1.0/me/drive/items/01DHXXN7YJMCJUVPBWNJEJPJIH7B4OTAUR#page=24</x:v>
      </x:c>
      <x:c r="V55" s="17" t="str">
        <x:v>https://graph.microsoft.com/v1.0/me/drive/items/01DHXXN7YJMCJUVPBWNJEJPJIH7B4OTAUR</x:v>
      </x:c>
      <x:c r="W55" s="17" t="str">
        <x:v>7a77d766383d854acaf4bbf412ffb90ac41a48d2e1382d110d112608ae350740</x:v>
      </x:c>
      <x:c r="X55" s="17" t="str">
        <x:v>SKU no publicado; se conserva una identidad técnica estable.</x:v>
      </x:c>
    </x:row>
    <x:row r="56" ht="34" customHeight="1">
      <x:c r="A56" s="17" t="str">
        <x:v>IDÉLIKA</x:v>
      </x:c>
      <x:c r="B56" s="17" t="str">
        <x:v>Fabricacion</x:v>
      </x:c>
      <x:c r="C56" s="17" t="str">
        <x:v>1 CATALOGO FABRICACION 2026B.pdf</x:v>
      </x:c>
      <x:c r="D56" s="21" t="n">
        <x:v>24</x:v>
      </x:c>
      <x:c r="E56" s="17" t="str">
        <x:v>idelika:fabricacion:sin-sku:fd3df1628be3307a1631</x:v>
      </x:c>
      <x:c r="F56" s="17"/>
      <x:c r="G56" s="22" t="str">
        <x:v>por_verificar</x:v>
      </x:c>
      <x:c r="H56" s="17" t="str">
        <x:v>Jocotepec silla</x:v>
      </x:c>
      <x:c r="I56" s="17" t="str">
        <x:v>Vallarta</x:v>
      </x:c>
      <x:c r="J56" s="17"/>
      <x:c r="K56" s="17" t="str">
        <x:v>Aluminio y cuerda</x:v>
      </x:c>
      <x:c r="L56" s="17" t="str">
        <x:v>51*63*81 alto</x:v>
      </x:c>
      <x:c r="M56" s="17" t="str">
        <x:v>Aluminio y cuerda 51*63*81 alto Con la silla Jocotepec lograrás el Mismo resultado pero al ser mas Angosta podrás meter 8 sillas en Lugar de 6</x:v>
      </x:c>
      <x:c r="N56" s="22" t="str">
        <x:v>pieza</x:v>
      </x:c>
      <x:c r="O56" s="23" t="n">
        <x:v>4999</x:v>
      </x:c>
      <x:c r="P56" s="23" t="n">
        <x:v>5990</x:v>
      </x:c>
      <x:c r="Q56" s="17" t="str">
        <x:v>$5,990 – $4,999</x:v>
      </x:c>
      <x:c r="R56" s="22" t="str">
        <x:v>confirmado</x:v>
      </x:c>
      <x:c r="S56" s="22" t="str">
        <x:v>Sí</x:v>
      </x:c>
      <x:c r="T56" s="24"/>
      <x:c r="U56" s="17" t="str">
        <x:v>https://graph.microsoft.com/v1.0/me/drive/items/01DHXXN7YJMCJUVPBWNJEJPJIH7B4OTAUR#page=24</x:v>
      </x:c>
      <x:c r="V56" s="17" t="str">
        <x:v>https://graph.microsoft.com/v1.0/me/drive/items/01DHXXN7YJMCJUVPBWNJEJPJIH7B4OTAUR</x:v>
      </x:c>
      <x:c r="W56" s="17" t="str">
        <x:v>fd3df1628be3307a1631ae73c1d87ddef31a8405db805f6fa21c3e59859e74bb</x:v>
      </x:c>
      <x:c r="X56" s="17" t="str">
        <x:v>SKU no publicado; se conserva una identidad técnica estable.</x:v>
      </x:c>
    </x:row>
    <x:row r="57" ht="34" customHeight="1">
      <x:c r="A57" s="17" t="str">
        <x:v>IDÉLIKA</x:v>
      </x:c>
      <x:c r="B57" s="17" t="str">
        <x:v>Fabricacion</x:v>
      </x:c>
      <x:c r="C57" s="17" t="str">
        <x:v>1 CATALOGO FABRICACION 2026B.pdf</x:v>
      </x:c>
      <x:c r="D57" s="21" t="n">
        <x:v>24</x:v>
      </x:c>
      <x:c r="E57" s="17" t="str">
        <x:v>idelika:fabricacion:sin-sku:051207badf87120eb4be</x:v>
      </x:c>
      <x:c r="F57" s="17"/>
      <x:c r="G57" s="22" t="str">
        <x:v>por_verificar</x:v>
      </x:c>
      <x:c r="H57" s="17" t="str">
        <x:v>Mesa Normandia</x:v>
      </x:c>
      <x:c r="I57" s="17" t="str">
        <x:v>Vallarta</x:v>
      </x:c>
      <x:c r="J57" s="17"/>
      <x:c r="K57" s="17" t="str">
        <x:v>Aluminio y cristal templado Acero Galvanizado Loneta 100% exterior Acero Galvanizado</x:v>
      </x:c>
      <x:c r="L57" s="17" t="str">
        <x:v>200*80*75 alto</x:v>
      </x:c>
      <x:c r="M57" s="17" t="str">
        <x:v>Aluminio y cristal templado 200*80*75 alto Vallarta daybed Acero Galvanizado Con pintura electroestática Loneta 100% exterior 192*130*78 Variante Vallarta Lounge Acero Galvanizado Con pintura electroestática Loneta 100% exterior 90*95*78</x:v>
      </x:c>
      <x:c r="N57" s="22" t="str">
        <x:v>pieza</x:v>
      </x:c>
      <x:c r="O57" s="23" t="n">
        <x:v>19990</x:v>
      </x:c>
      <x:c r="P57" s="23" t="n">
        <x:v>22990</x:v>
      </x:c>
      <x:c r="Q57" s="17" t="str">
        <x:v>$22,990 – $19,990</x:v>
      </x:c>
      <x:c r="R57" s="22" t="str">
        <x:v>confirmado</x:v>
      </x:c>
      <x:c r="S57" s="22" t="str">
        <x:v>Sí</x:v>
      </x:c>
      <x:c r="T57" s="24"/>
      <x:c r="U57" s="17" t="str">
        <x:v>https://graph.microsoft.com/v1.0/me/drive/items/01DHXXN7YJMCJUVPBWNJEJPJIH7B4OTAUR#page=24</x:v>
      </x:c>
      <x:c r="V57" s="17" t="str">
        <x:v>https://graph.microsoft.com/v1.0/me/drive/items/01DHXXN7YJMCJUVPBWNJEJPJIH7B4OTAUR</x:v>
      </x:c>
      <x:c r="W57" s="17" t="str">
        <x:v>051207badf87120eb4bed07dccbd777d4dc9d15a21f62cc69162df2397c06c47</x:v>
      </x:c>
      <x:c r="X57" s="17" t="str">
        <x:v>SKU no publicado; se conserva una identidad técnica estable.</x:v>
      </x:c>
    </x:row>
    <x:row r="58" ht="34" customHeight="1">
      <x:c r="A58" s="17" t="str">
        <x:v>IDÉLIKA</x:v>
      </x:c>
      <x:c r="B58" s="17" t="str">
        <x:v>Fabricacion</x:v>
      </x:c>
      <x:c r="C58" s="17" t="str">
        <x:v>1 CATALOGO FABRICACION 2026B.pdf</x:v>
      </x:c>
      <x:c r="D58" s="21" t="n">
        <x:v>24</x:v>
      </x:c>
      <x:c r="E58" s="17" t="str">
        <x:v>idelika:fabricacion:sin-sku:4ff6d99d243bdb64e758</x:v>
      </x:c>
      <x:c r="F58" s="17"/>
      <x:c r="G58" s="22" t="str">
        <x:v>por_verificar</x:v>
      </x:c>
      <x:c r="H58" s="17" t="str">
        <x:v>Mesa Normandia</x:v>
      </x:c>
      <x:c r="I58" s="17" t="str">
        <x:v>Vallarta</x:v>
      </x:c>
      <x:c r="J58" s="17"/>
      <x:c r="K58" s="17" t="str">
        <x:v>Aluminio y cristal templado Acero Galvanizado Loneta 100% exterior Acero Galvanizado</x:v>
      </x:c>
      <x:c r="L58" s="17" t="str">
        <x:v>192*130*78</x:v>
      </x:c>
      <x:c r="M58" s="17" t="str">
        <x:v>Aluminio y cristal templado 200*80*75 alto Vallarta daybed Acero Galvanizado Con pintura electroestática Loneta 100% exterior 192*130*78 Variante Vallarta Lounge Acero Galvanizado Con pintura electroestática Loneta 100% exterior 90*95*78</x:v>
      </x:c>
      <x:c r="N58" s="22" t="str">
        <x:v>pieza</x:v>
      </x:c>
      <x:c r="O58" s="23" t="n">
        <x:v>34990</x:v>
      </x:c>
      <x:c r="P58" s="23" t="n">
        <x:v>39990</x:v>
      </x:c>
      <x:c r="Q58" s="17" t="str">
        <x:v>$39,990 – $34,990</x:v>
      </x:c>
      <x:c r="R58" s="22" t="str">
        <x:v>confirmado</x:v>
      </x:c>
      <x:c r="S58" s="22" t="str">
        <x:v>Sí</x:v>
      </x:c>
      <x:c r="T58" s="24"/>
      <x:c r="U58" s="17" t="str">
        <x:v>https://graph.microsoft.com/v1.0/me/drive/items/01DHXXN7YJMCJUVPBWNJEJPJIH7B4OTAUR#page=24</x:v>
      </x:c>
      <x:c r="V58" s="17" t="str">
        <x:v>https://graph.microsoft.com/v1.0/me/drive/items/01DHXXN7YJMCJUVPBWNJEJPJIH7B4OTAUR</x:v>
      </x:c>
      <x:c r="W58" s="17" t="str">
        <x:v>4ff6d99d243bdb64e758df6875bccc68144167b6fcd6580c63bcc4e347568685</x:v>
      </x:c>
      <x:c r="X58" s="17" t="str">
        <x:v>SKU no publicado; se conserva una identidad técnica estable.</x:v>
      </x:c>
    </x:row>
    <x:row r="59" ht="34" customHeight="1">
      <x:c r="A59" s="17" t="str">
        <x:v>IDÉLIKA</x:v>
      </x:c>
      <x:c r="B59" s="17" t="str">
        <x:v>Fabricacion</x:v>
      </x:c>
      <x:c r="C59" s="17" t="str">
        <x:v>1 CATALOGO FABRICACION 2026B.pdf</x:v>
      </x:c>
      <x:c r="D59" s="21" t="n">
        <x:v>24</x:v>
      </x:c>
      <x:c r="E59" s="17" t="str">
        <x:v>idelika:fabricacion:sin-sku:c97f2088bc0dcca51019</x:v>
      </x:c>
      <x:c r="F59" s="17"/>
      <x:c r="G59" s="22" t="str">
        <x:v>por_verificar</x:v>
      </x:c>
      <x:c r="H59" s="17" t="str">
        <x:v>Mesa Normandia</x:v>
      </x:c>
      <x:c r="I59" s="17" t="str">
        <x:v>Vallarta</x:v>
      </x:c>
      <x:c r="J59" s="17"/>
      <x:c r="K59" s="17" t="str">
        <x:v>Aluminio y cristal templado Acero Galvanizado Loneta 100% exterior Acero Galvanizado</x:v>
      </x:c>
      <x:c r="L59" s="17" t="str">
        <x:v>90*95*78</x:v>
      </x:c>
      <x:c r="M59" s="17" t="str">
        <x:v>Aluminio y cristal templado 200*80*75 alto Vallarta daybed Acero Galvanizado Con pintura electroestática Loneta 100% exterior 192*130*78 Variante Vallarta Lounge Acero Galvanizado Con pintura electroestática Loneta 100% exterior 90*95*78</x:v>
      </x:c>
      <x:c r="N59" s="22" t="str">
        <x:v>pieza</x:v>
      </x:c>
      <x:c r="O59" s="23" t="n">
        <x:v>12990</x:v>
      </x:c>
      <x:c r="P59" s="23" t="n">
        <x:v>15990</x:v>
      </x:c>
      <x:c r="Q59" s="17" t="str">
        <x:v>$15,990 – $12,990</x:v>
      </x:c>
      <x:c r="R59" s="22" t="str">
        <x:v>confirmado</x:v>
      </x:c>
      <x:c r="S59" s="22" t="str">
        <x:v>Sí</x:v>
      </x:c>
      <x:c r="T59" s="24"/>
      <x:c r="U59" s="17" t="str">
        <x:v>https://graph.microsoft.com/v1.0/me/drive/items/01DHXXN7YJMCJUVPBWNJEJPJIH7B4OTAUR#page=24</x:v>
      </x:c>
      <x:c r="V59" s="17" t="str">
        <x:v>https://graph.microsoft.com/v1.0/me/drive/items/01DHXXN7YJMCJUVPBWNJEJPJIH7B4OTAUR</x:v>
      </x:c>
      <x:c r="W59" s="17" t="str">
        <x:v>c97f2088bc0dcca51019f518916d3acbff97a85dc02c0cf06f0350f54b0212f1</x:v>
      </x:c>
      <x:c r="X59" s="17" t="str">
        <x:v>SKU no publicado; se conserva una identidad técnica estable.</x:v>
      </x:c>
    </x:row>
    <x:row r="60" ht="34" customHeight="1">
      <x:c r="A60" s="17" t="str">
        <x:v>IDÉLIKA</x:v>
      </x:c>
      <x:c r="B60" s="17" t="str">
        <x:v>Fabricacion</x:v>
      </x:c>
      <x:c r="C60" s="17" t="str">
        <x:v>1 CATALOGO FABRICACION 2026B.pdf</x:v>
      </x:c>
      <x:c r="D60" s="21" t="n">
        <x:v>26</x:v>
      </x:c>
      <x:c r="E60" s="17" t="str">
        <x:v>idelika:fabricacion:sin-sku:63ba46c179114f472041</x:v>
      </x:c>
      <x:c r="F60" s="17"/>
      <x:c r="G60" s="22" t="str">
        <x:v>por_verificar</x:v>
      </x:c>
      <x:c r="H60" s="17" t="str">
        <x:v>Chacala Camastro 2 Plazas</x:v>
      </x:c>
      <x:c r="I60" s="17" t="str">
        <x:v>Chacala</x:v>
      </x:c>
      <x:c r="J60" s="17"/>
      <x:c r="K60" s="17" t="str">
        <x:v>Acero con pintura loneta 100% exterior atenzza</x:v>
      </x:c>
      <x:c r="L60" s="17" t="str">
        <x:v>170*95*80</x:v>
      </x:c>
      <x:c r="M60" s="17" t="str">
        <x:v>Acero con pintura electroestática y loneta 100% exterior atenzza Colchoneta + 2 cojines 170*95*80</x:v>
      </x:c>
      <x:c r="N60" s="22" t="str">
        <x:v>pieza</x:v>
      </x:c>
      <x:c r="O60" s="23" t="n">
        <x:v>21990</x:v>
      </x:c>
      <x:c r="P60" s="23" t="n">
        <x:v>26990</x:v>
      </x:c>
      <x:c r="Q60" s="17" t="str">
        <x:v>$26,990 – $21,990</x:v>
      </x:c>
      <x:c r="R60" s="22" t="str">
        <x:v>confirmado</x:v>
      </x:c>
      <x:c r="S60" s="22" t="str">
        <x:v>Sí</x:v>
      </x:c>
      <x:c r="T60" s="24"/>
      <x:c r="U60" s="17" t="str">
        <x:v>https://graph.microsoft.com/v1.0/me/drive/items/01DHXXN7YJMCJUVPBWNJEJPJIH7B4OTAUR#page=26</x:v>
      </x:c>
      <x:c r="V60" s="17" t="str">
        <x:v>https://graph.microsoft.com/v1.0/me/drive/items/01DHXXN7YJMCJUVPBWNJEJPJIH7B4OTAUR</x:v>
      </x:c>
      <x:c r="W60" s="17" t="str">
        <x:v>63ba46c179114f472041013ea69786985015938a6875c5037ca04a0aa985fca5</x:v>
      </x:c>
      <x:c r="X60" s="17" t="str">
        <x:v>SKU no publicado; se conserva una identidad técnica estable.</x:v>
      </x:c>
    </x:row>
    <x:row r="61" ht="34" customHeight="1">
      <x:c r="A61" s="17" t="str">
        <x:v>IDÉLIKA</x:v>
      </x:c>
      <x:c r="B61" s="17" t="str">
        <x:v>Fabricacion</x:v>
      </x:c>
      <x:c r="C61" s="17" t="str">
        <x:v>1 CATALOGO FABRICACION 2026B.pdf</x:v>
      </x:c>
      <x:c r="D61" s="21" t="n">
        <x:v>26</x:v>
      </x:c>
      <x:c r="E61" s="17" t="str">
        <x:v>idelika:fabricacion:sin-sku:50cb94ec94d2aeed4ab5</x:v>
      </x:c>
      <x:c r="F61" s="17"/>
      <x:c r="G61" s="22" t="str">
        <x:v>por_verificar</x:v>
      </x:c>
      <x:c r="H61" s="17" t="str">
        <x:v>Chacala Camastro 1 Plaza</x:v>
      </x:c>
      <x:c r="I61" s="17" t="str">
        <x:v>Chacala</x:v>
      </x:c>
      <x:c r="J61" s="17"/>
      <x:c r="K61" s="17" t="str">
        <x:v>Acero con pintura electroestática y loneta 100% exterior atenzza</x:v>
      </x:c>
      <x:c r="L61" s="17" t="str">
        <x:v>168*70*90</x:v>
      </x:c>
      <x:c r="M61" s="17" t="str">
        <x:v>Acero con pintura electroestática y loneta 100% exterior atenzza Colchoneta + 2 cojines 168*70*90</x:v>
      </x:c>
      <x:c r="N61" s="22" t="str">
        <x:v>pieza</x:v>
      </x:c>
      <x:c r="O61" s="23" t="n">
        <x:v>16459</x:v>
      </x:c>
      <x:c r="P61" s="23" t="n">
        <x:v>16990</x:v>
      </x:c>
      <x:c r="Q61" s="17" t="str">
        <x:v>$16,990 – $16,459</x:v>
      </x:c>
      <x:c r="R61" s="22" t="str">
        <x:v>confirmado</x:v>
      </x:c>
      <x:c r="S61" s="22" t="str">
        <x:v>Sí</x:v>
      </x:c>
      <x:c r="T61" s="24"/>
      <x:c r="U61" s="17" t="str">
        <x:v>https://graph.microsoft.com/v1.0/me/drive/items/01DHXXN7YJMCJUVPBWNJEJPJIH7B4OTAUR#page=26</x:v>
      </x:c>
      <x:c r="V61" s="17" t="str">
        <x:v>https://graph.microsoft.com/v1.0/me/drive/items/01DHXXN7YJMCJUVPBWNJEJPJIH7B4OTAUR</x:v>
      </x:c>
      <x:c r="W61" s="17" t="str">
        <x:v>50cb94ec94d2aeed4ab5dc08a1f9b5a35da98d01b6959d1185b02f882102defc</x:v>
      </x:c>
      <x:c r="X61" s="17" t="str">
        <x:v>SKU no publicado; se conserva una identidad técnica estable.</x:v>
      </x:c>
    </x:row>
    <x:row r="62" ht="34" customHeight="1">
      <x:c r="A62" s="17" t="str">
        <x:v>IDÉLIKA</x:v>
      </x:c>
      <x:c r="B62" s="17" t="str">
        <x:v>Fabricacion</x:v>
      </x:c>
      <x:c r="C62" s="17" t="str">
        <x:v>1 CATALOGO FABRICACION 2026B.pdf</x:v>
      </x:c>
      <x:c r="D62" s="21" t="n">
        <x:v>27</x:v>
      </x:c>
      <x:c r="E62" s="17" t="str">
        <x:v>idelika:fabricacion:sin-sku:585b4977396ac25e4c33</x:v>
      </x:c>
      <x:c r="F62" s="17"/>
      <x:c r="G62" s="22" t="str">
        <x:v>por_verificar</x:v>
      </x:c>
      <x:c r="H62" s="17" t="str">
        <x:v>Chamela silla</x:v>
      </x:c>
      <x:c r="I62" s="17"/>
      <x:c r="J62" s="17" t="str">
        <x:v>exterior techado</x:v>
      </x:c>
      <x:c r="K62" s="17" t="str">
        <x:v>Acero con pintura electroestática cuerda de multifilamento y tela Aluminio, cuerda textilene y loneta</x:v>
      </x:c>
      <x:c r="L62" s="17" t="str">
        <x:v>Fabricación 70*50*82 alto</x:v>
      </x:c>
      <x:c r="M62" s="17" t="str">
        <x:v>Acero con pintura electroestática cuerda de multifilamento y tela Aluminio, cuerda textilene y loneta de exterior (lleva refuerzo reposapiés)</x:v>
      </x:c>
      <x:c r="N62" s="22" t="str">
        <x:v>pieza</x:v>
      </x:c>
      <x:c r="O62" s="23" t="n">
        <x:v>3999</x:v>
      </x:c>
      <x:c r="P62" s="23" t="n">
        <x:v>4490</x:v>
      </x:c>
      <x:c r="Q62" s="17" t="str">
        <x:v>$4,490 – $3,999 exterior techado</x:v>
      </x:c>
      <x:c r="R62" s="22" t="str">
        <x:v>confirmado</x:v>
      </x:c>
      <x:c r="S62" s="22" t="str">
        <x:v>Sí</x:v>
      </x:c>
      <x:c r="T62" s="24"/>
      <x:c r="U62" s="17" t="str">
        <x:v>https://graph.microsoft.com/v1.0/me/drive/items/01DHXXN7YJMCJUVPBWNJEJPJIH7B4OTAUR#page=27</x:v>
      </x:c>
      <x:c r="V62" s="17" t="str">
        <x:v>https://graph.microsoft.com/v1.0/me/drive/items/01DHXXN7YJMCJUVPBWNJEJPJIH7B4OTAUR</x:v>
      </x:c>
      <x:c r="W62" s="17" t="str">
        <x:v>585b4977396ac25e4c336588135d80b84235655aaf4f739206f6da5eb48aaa46</x:v>
      </x:c>
      <x:c r="X62" s="17" t="str">
        <x:v>SKU no publicado; se conserva una identidad técnica estable.</x:v>
      </x:c>
    </x:row>
    <x:row r="63" ht="34" customHeight="1">
      <x:c r="A63" s="17" t="str">
        <x:v>IDÉLIKA</x:v>
      </x:c>
      <x:c r="B63" s="17" t="str">
        <x:v>Fabricacion</x:v>
      </x:c>
      <x:c r="C63" s="17" t="str">
        <x:v>1 CATALOGO FABRICACION 2026B.pdf</x:v>
      </x:c>
      <x:c r="D63" s="21" t="n">
        <x:v>27</x:v>
      </x:c>
      <x:c r="E63" s="17" t="str">
        <x:v>idelika:fabricacion:sin-sku:3945d5d690f55139728b</x:v>
      </x:c>
      <x:c r="F63" s="17"/>
      <x:c r="G63" s="22" t="str">
        <x:v>por_verificar</x:v>
      </x:c>
      <x:c r="H63" s="17" t="str">
        <x:v>Chamela silla</x:v>
      </x:c>
      <x:c r="I63" s="17"/>
      <x:c r="J63" s="17" t="str">
        <x:v>exterior 100%</x:v>
      </x:c>
      <x:c r="K63" s="17" t="str">
        <x:v>Acero con pintura electroestática cuerda de multifilamento y tela Aluminio, cuerda textilene y loneta</x:v>
      </x:c>
      <x:c r="L63" s="17"/>
      <x:c r="M63" s="17" t="str">
        <x:v>Acero con pintura electroestática cuerda de multifilamento y tela Aluminio, cuerda textilene y loneta de exterior (lleva refuerzo reposapiés)</x:v>
      </x:c>
      <x:c r="N63" s="22" t="str">
        <x:v>pieza</x:v>
      </x:c>
      <x:c r="O63" s="23" t="n">
        <x:v>5990</x:v>
      </x:c>
      <x:c r="P63" s="23" t="n">
        <x:v>6290</x:v>
      </x:c>
      <x:c r="Q63" s="17" t="str">
        <x:v>$6,290 – $5,990 exterior 100%</x:v>
      </x:c>
      <x:c r="R63" s="22" t="str">
        <x:v>confirmado</x:v>
      </x:c>
      <x:c r="S63" s="22" t="str">
        <x:v>Sí</x:v>
      </x:c>
      <x:c r="T63" s="24"/>
      <x:c r="U63" s="17" t="str">
        <x:v>https://graph.microsoft.com/v1.0/me/drive/items/01DHXXN7YJMCJUVPBWNJEJPJIH7B4OTAUR#page=27</x:v>
      </x:c>
      <x:c r="V63" s="17" t="str">
        <x:v>https://graph.microsoft.com/v1.0/me/drive/items/01DHXXN7YJMCJUVPBWNJEJPJIH7B4OTAUR</x:v>
      </x:c>
      <x:c r="W63" s="17" t="str">
        <x:v>3945d5d690f55139728b129520b68aa6767463b959c1d63f712afb5e964b8bd9</x:v>
      </x:c>
      <x:c r="X63" s="17" t="str">
        <x:v>SKU no publicado; se conserva una identidad técnica estable.</x:v>
      </x:c>
    </x:row>
    <x:row r="64" ht="34" customHeight="1">
      <x:c r="A64" s="17" t="str">
        <x:v>IDÉLIKA</x:v>
      </x:c>
      <x:c r="B64" s="17" t="str">
        <x:v>Fabricacion</x:v>
      </x:c>
      <x:c r="C64" s="17" t="str">
        <x:v>1 CATALOGO FABRICACION 2026B.pdf</x:v>
      </x:c>
      <x:c r="D64" s="21" t="n">
        <x:v>27</x:v>
      </x:c>
      <x:c r="E64" s="17" t="str">
        <x:v>idelika:fabricacion:sin-sku:45ea5907b41f7d813c44</x:v>
      </x:c>
      <x:c r="F64" s="17"/>
      <x:c r="G64" s="22" t="str">
        <x:v>por_verificar</x:v>
      </x:c>
      <x:c r="H64" s="17" t="str">
        <x:v>Manzanillo sillón</x:v>
      </x:c>
      <x:c r="I64" s="17"/>
      <x:c r="J64" s="17" t="str">
        <x:v>exterior techado</x:v>
      </x:c>
      <x:c r="K64" s="17" t="str">
        <x:v>Acero y cuerda marina Con tela</x:v>
      </x:c>
      <x:c r="L64" s="17" t="str">
        <x:v>54*53*83</x:v>
      </x:c>
      <x:c r="M64" s="17" t="str">
        <x:v>Acero y cuerda marina Con tela 54*53*83</x:v>
      </x:c>
      <x:c r="N64" s="22" t="str">
        <x:v>pieza</x:v>
      </x:c>
      <x:c r="O64" s="23" t="n">
        <x:v>5990</x:v>
      </x:c>
      <x:c r="P64" s="23" t="n">
        <x:v>6990</x:v>
      </x:c>
      <x:c r="Q64" s="17" t="str">
        <x:v>$6,990 – $5,990 exterior techado</x:v>
      </x:c>
      <x:c r="R64" s="22" t="str">
        <x:v>confirmado</x:v>
      </x:c>
      <x:c r="S64" s="22" t="str">
        <x:v>Sí</x:v>
      </x:c>
      <x:c r="T64" s="24"/>
      <x:c r="U64" s="17" t="str">
        <x:v>https://graph.microsoft.com/v1.0/me/drive/items/01DHXXN7YJMCJUVPBWNJEJPJIH7B4OTAUR#page=27</x:v>
      </x:c>
      <x:c r="V64" s="17" t="str">
        <x:v>https://graph.microsoft.com/v1.0/me/drive/items/01DHXXN7YJMCJUVPBWNJEJPJIH7B4OTAUR</x:v>
      </x:c>
      <x:c r="W64" s="17" t="str">
        <x:v>45ea5907b41f7d813c4459d9bc21821f0e6f00bd4391e6b5c7b5543fbd0711e1</x:v>
      </x:c>
      <x:c r="X64" s="17" t="str">
        <x:v>SKU no publicado; se conserva una identidad técnica estable.</x:v>
      </x:c>
    </x:row>
    <x:row r="65" ht="34" customHeight="1">
      <x:c r="A65" s="17" t="str">
        <x:v>IDÉLIKA</x:v>
      </x:c>
      <x:c r="B65" s="17" t="str">
        <x:v>Fabricacion</x:v>
      </x:c>
      <x:c r="C65" s="17" t="str">
        <x:v>1 CATALOGO FABRICACION 2026B.pdf</x:v>
      </x:c>
      <x:c r="D65" s="21" t="n">
        <x:v>27</x:v>
      </x:c>
      <x:c r="E65" s="17" t="str">
        <x:v>idelika:fabricacion:sin-sku:dde34ae3d532b01ce628</x:v>
      </x:c>
      <x:c r="F65" s="17"/>
      <x:c r="G65" s="22" t="str">
        <x:v>por_verificar</x:v>
      </x:c>
      <x:c r="H65" s="17" t="str">
        <x:v>Manzanillo sillón</x:v>
      </x:c>
      <x:c r="I65" s="17"/>
      <x:c r="J65" s="17" t="str">
        <x:v>exterior 100%</x:v>
      </x:c>
      <x:c r="K65" s="17" t="str">
        <x:v>Acero y cuerda marina Con tela</x:v>
      </x:c>
      <x:c r="L65" s="17"/>
      <x:c r="M65" s="17" t="str">
        <x:v>Acero y cuerda marina Con tela 54*53*83</x:v>
      </x:c>
      <x:c r="N65" s="22" t="str">
        <x:v>pieza</x:v>
      </x:c>
      <x:c r="O65" s="23" t="n">
        <x:v>7990</x:v>
      </x:c>
      <x:c r="P65" s="23" t="n">
        <x:v>8990</x:v>
      </x:c>
      <x:c r="Q65" s="17" t="str">
        <x:v>$8,990 – $7,990 exterior 100%</x:v>
      </x:c>
      <x:c r="R65" s="22" t="str">
        <x:v>confirmado</x:v>
      </x:c>
      <x:c r="S65" s="22" t="str">
        <x:v>Sí</x:v>
      </x:c>
      <x:c r="T65" s="24"/>
      <x:c r="U65" s="17" t="str">
        <x:v>https://graph.microsoft.com/v1.0/me/drive/items/01DHXXN7YJMCJUVPBWNJEJPJIH7B4OTAUR#page=27</x:v>
      </x:c>
      <x:c r="V65" s="17" t="str">
        <x:v>https://graph.microsoft.com/v1.0/me/drive/items/01DHXXN7YJMCJUVPBWNJEJPJIH7B4OTAUR</x:v>
      </x:c>
      <x:c r="W65" s="17" t="str">
        <x:v>dde34ae3d532b01ce628a0ba3a84d521c316338261893cbb5d0fb8a6f4c59ad0</x:v>
      </x:c>
      <x:c r="X65" s="17" t="str">
        <x:v>SKU no publicado; se conserva una identidad técnica estable.</x:v>
      </x:c>
    </x:row>
    <x:row r="66" ht="34" customHeight="1">
      <x:c r="A66" s="17" t="str">
        <x:v>IDÉLIKA</x:v>
      </x:c>
      <x:c r="B66" s="17" t="str">
        <x:v>Fabricacion</x:v>
      </x:c>
      <x:c r="C66" s="17" t="str">
        <x:v>1 CATALOGO FABRICACION 2026B.pdf</x:v>
      </x:c>
      <x:c r="D66" s="21" t="n">
        <x:v>28</x:v>
      </x:c>
      <x:c r="E66" s="17" t="str">
        <x:v>idelika:fabricacion:sin-sku:218ac6ba23e6cc3154f9</x:v>
      </x:c>
      <x:c r="F66" s="17"/>
      <x:c r="G66" s="22" t="str">
        <x:v>por_verificar</x:v>
      </x:c>
      <x:c r="H66" s="17" t="str">
        <x:v>Yelapa Camastro</x:v>
      </x:c>
      <x:c r="I66" s="17"/>
      <x:c r="J66" s="17"/>
      <x:c r="K66" s="17" t="str">
        <x:v>Madera de parota y Acero galvanizado Loneta 100% exterior atenzza</x:v>
      </x:c>
      <x:c r="L66" s="17" t="str">
        <x:v>180*100*80</x:v>
      </x:c>
      <x:c r="M66" s="17" t="str">
        <x:v>Madera de parota y Acero galvanizado Loneta 100% exterior atenzza 180*100*80</x:v>
      </x:c>
      <x:c r="N66" s="22" t="str">
        <x:v>pieza</x:v>
      </x:c>
      <x:c r="O66" s="23" t="n">
        <x:v>13490</x:v>
      </x:c>
      <x:c r="P66" s="23" t="n">
        <x:v>13990</x:v>
      </x:c>
      <x:c r="Q66" s="17" t="str">
        <x:v>$13,990 – $13,490</x:v>
      </x:c>
      <x:c r="R66" s="22" t="str">
        <x:v>confirmado</x:v>
      </x:c>
      <x:c r="S66" s="22" t="str">
        <x:v>Sí</x:v>
      </x:c>
      <x:c r="T66" s="24"/>
      <x:c r="U66" s="17" t="str">
        <x:v>https://graph.microsoft.com/v1.0/me/drive/items/01DHXXN7YJMCJUVPBWNJEJPJIH7B4OTAUR#page=28</x:v>
      </x:c>
      <x:c r="V66" s="17" t="str">
        <x:v>https://graph.microsoft.com/v1.0/me/drive/items/01DHXXN7YJMCJUVPBWNJEJPJIH7B4OTAUR</x:v>
      </x:c>
      <x:c r="W66" s="17" t="str">
        <x:v>218ac6ba23e6cc3154f93dcd3df649e3fb41b8365f18d3d3caf92160dcdd0d7f</x:v>
      </x:c>
      <x:c r="X66" s="17" t="str">
        <x:v>SKU no publicado; se conserva una identidad técnica estable.</x:v>
      </x:c>
    </x:row>
    <x:row r="67" ht="34" customHeight="1">
      <x:c r="A67" s="17" t="str">
        <x:v>IDÉLIKA</x:v>
      </x:c>
      <x:c r="B67" s="17" t="str">
        <x:v>Fabricacion</x:v>
      </x:c>
      <x:c r="C67" s="17" t="str">
        <x:v>1 CATALOGO FABRICACION 2026B.pdf</x:v>
      </x:c>
      <x:c r="D67" s="21" t="n">
        <x:v>28</x:v>
      </x:c>
      <x:c r="E67" s="17" t="str">
        <x:v>idelika:fabricacion:sin-sku:d97213c3d9cd2e67cc7d</x:v>
      </x:c>
      <x:c r="F67" s="17"/>
      <x:c r="G67" s="22" t="str">
        <x:v>por_verificar</x:v>
      </x:c>
      <x:c r="H67" s="17" t="str">
        <x:v>Sillón Castor</x:v>
      </x:c>
      <x:c r="I67" s="17"/>
      <x:c r="J67" s="17"/>
      <x:c r="K67" s="17" t="str">
        <x:v>Madera de parota o teka cuerda Y Loneta 100% exterior</x:v>
      </x:c>
      <x:c r="L67" s="17" t="str">
        <x:v>75*80*70</x:v>
      </x:c>
      <x:c r="M67" s="17" t="str">
        <x:v>Madera de parota o teka cuerda Y Loneta 100% exterior 75*80*70</x:v>
      </x:c>
      <x:c r="N67" s="22" t="str">
        <x:v>pieza</x:v>
      </x:c>
      <x:c r="O67" s="23" t="n">
        <x:v>13990</x:v>
      </x:c>
      <x:c r="P67" s="23" t="n">
        <x:v>15990</x:v>
      </x:c>
      <x:c r="Q67" s="17" t="str">
        <x:v>$15,990 – $13,990</x:v>
      </x:c>
      <x:c r="R67" s="22" t="str">
        <x:v>confirmado</x:v>
      </x:c>
      <x:c r="S67" s="22" t="str">
        <x:v>Sí</x:v>
      </x:c>
      <x:c r="T67" s="24"/>
      <x:c r="U67" s="17" t="str">
        <x:v>https://graph.microsoft.com/v1.0/me/drive/items/01DHXXN7YJMCJUVPBWNJEJPJIH7B4OTAUR#page=28</x:v>
      </x:c>
      <x:c r="V67" s="17" t="str">
        <x:v>https://graph.microsoft.com/v1.0/me/drive/items/01DHXXN7YJMCJUVPBWNJEJPJIH7B4OTAUR</x:v>
      </x:c>
      <x:c r="W67" s="17" t="str">
        <x:v>d97213c3d9cd2e67cc7db1052fa6ce4ae5ab442170f84f8272d338fbf21ac2eb</x:v>
      </x:c>
      <x:c r="X67" s="17" t="str">
        <x:v>SKU no publicado; se conserva una identidad técnica estable.</x:v>
      </x:c>
    </x:row>
    <x:row r="68" ht="34" customHeight="1">
      <x:c r="A68" s="17" t="str">
        <x:v>IDÉLIKA</x:v>
      </x:c>
      <x:c r="B68" s="17" t="str">
        <x:v>Fabricacion</x:v>
      </x:c>
      <x:c r="C68" s="17" t="str">
        <x:v>1 CATALOGO FABRICACION 2026B.pdf</x:v>
      </x:c>
      <x:c r="D68" s="21" t="n">
        <x:v>29</x:v>
      </x:c>
      <x:c r="E68" s="17" t="str">
        <x:v>idelika:fabricacion:sin-sku:283ef0eec4b94c8980f7</x:v>
      </x:c>
      <x:c r="F68" s="17"/>
      <x:c r="G68" s="22" t="str">
        <x:v>por_verificar</x:v>
      </x:c>
      <x:c r="H68" s="17" t="str">
        <x:v>Cama Balinesa</x:v>
      </x:c>
      <x:c r="I68" s="17"/>
      <x:c r="J68" s="17" t="str">
        <x:v>exterior 100%</x:v>
      </x:c>
      <x:c r="K68" s="17" t="str">
        <x:v>Fabricación madera de teka y loneta</x:v>
      </x:c>
      <x:c r="L68" s="17" t="str">
        <x:v>200*200*200</x:v>
      </x:c>
      <x:c r="M68" s="17" t="str">
        <x:v>200*200*200</x:v>
      </x:c>
      <x:c r="N68" s="22" t="str">
        <x:v>pieza</x:v>
      </x:c>
      <x:c r="O68" s="23" t="n">
        <x:v>79990</x:v>
      </x:c>
      <x:c r="P68" s="23" t="n">
        <x:v>89699</x:v>
      </x:c>
      <x:c r="Q68" s="17" t="str">
        <x:v>$89,699 – $79,990 exterior 100%</x:v>
      </x:c>
      <x:c r="R68" s="22" t="str">
        <x:v>confirmado</x:v>
      </x:c>
      <x:c r="S68" s="22" t="str">
        <x:v>Sí</x:v>
      </x:c>
      <x:c r="T68" s="24"/>
      <x:c r="U68" s="17" t="str">
        <x:v>https://graph.microsoft.com/v1.0/me/drive/items/01DHXXN7YJMCJUVPBWNJEJPJIH7B4OTAUR#page=29</x:v>
      </x:c>
      <x:c r="V68" s="17" t="str">
        <x:v>https://graph.microsoft.com/v1.0/me/drive/items/01DHXXN7YJMCJUVPBWNJEJPJIH7B4OTAUR</x:v>
      </x:c>
      <x:c r="W68" s="17" t="str">
        <x:v>283ef0eec4b94c8980f786a655e88e29d5c500d46edab7aa3d420c655787804a</x:v>
      </x:c>
      <x:c r="X68" s="17" t="str">
        <x:v>SKU no publicado; se conserva una identidad técnica estable.</x:v>
      </x:c>
    </x:row>
    <x:row r="69" ht="34" customHeight="1">
      <x:c r="A69" s="17" t="str">
        <x:v>IDÉLIKA</x:v>
      </x:c>
      <x:c r="B69" s="17" t="str">
        <x:v>Fabricacion</x:v>
      </x:c>
      <x:c r="C69" s="17" t="str">
        <x:v>1 CATALOGO FABRICACION 2026B.pdf</x:v>
      </x:c>
      <x:c r="D69" s="21" t="n">
        <x:v>29</x:v>
      </x:c>
      <x:c r="E69" s="17" t="str">
        <x:v>idelika:fabricacion:sin-sku:8626616d62d9d070008f</x:v>
      </x:c>
      <x:c r="F69" s="17"/>
      <x:c r="G69" s="22" t="str">
        <x:v>por_verificar</x:v>
      </x:c>
      <x:c r="H69" s="17" t="str">
        <x:v>Tulum camastro</x:v>
      </x:c>
      <x:c r="I69" s="17"/>
      <x:c r="J69" s="17" t="str">
        <x:v>exterior 100%</x:v>
      </x:c>
      <x:c r="K69" s="17" t="str">
        <x:v>Fabricación acero galvanizado y cuerda textilene</x:v>
      </x:c>
      <x:c r="L69" s="17" t="str">
        <x:v>70*180*86</x:v>
      </x:c>
      <x:c r="M69" s="17" t="str">
        <x:v>70*180*86</x:v>
      </x:c>
      <x:c r="N69" s="22" t="str">
        <x:v>pieza</x:v>
      </x:c>
      <x:c r="O69" s="23" t="n">
        <x:v>9990</x:v>
      </x:c>
      <x:c r="P69" s="23" t="n">
        <x:v>11990</x:v>
      </x:c>
      <x:c r="Q69" s="17" t="str">
        <x:v>$11,990 – $9,990 exterior 100%</x:v>
      </x:c>
      <x:c r="R69" s="22" t="str">
        <x:v>confirmado</x:v>
      </x:c>
      <x:c r="S69" s="22" t="str">
        <x:v>Sí</x:v>
      </x:c>
      <x:c r="T69" s="24"/>
      <x:c r="U69" s="17" t="str">
        <x:v>https://graph.microsoft.com/v1.0/me/drive/items/01DHXXN7YJMCJUVPBWNJEJPJIH7B4OTAUR#page=29</x:v>
      </x:c>
      <x:c r="V69" s="17" t="str">
        <x:v>https://graph.microsoft.com/v1.0/me/drive/items/01DHXXN7YJMCJUVPBWNJEJPJIH7B4OTAUR</x:v>
      </x:c>
      <x:c r="W69" s="17" t="str">
        <x:v>8626616d62d9d070008fedcca33ae7561393d044bb667c7bf744b45b2bbef9f1</x:v>
      </x:c>
      <x:c r="X69" s="17" t="str">
        <x:v>SKU no publicado; se conserva una identidad técnica estable.</x:v>
      </x:c>
    </x:row>
    <x:row r="70" ht="34" customHeight="1">
      <x:c r="A70" s="17" t="str">
        <x:v>IDÉLIKA</x:v>
      </x:c>
      <x:c r="B70" s="17" t="str">
        <x:v>Fabricacion</x:v>
      </x:c>
      <x:c r="C70" s="17" t="str">
        <x:v>1 CATALOGO FABRICACION 2026B.pdf</x:v>
      </x:c>
      <x:c r="D70" s="21" t="n">
        <x:v>30</x:v>
      </x:c>
      <x:c r="E70" s="17" t="str">
        <x:v>idelika:fabricacion:sin-sku:bb0c6183f9826f21321e</x:v>
      </x:c>
      <x:c r="F70" s="17"/>
      <x:c r="G70" s="22" t="str">
        <x:v>por_verificar</x:v>
      </x:c>
      <x:c r="H70" s="17" t="str">
        <x:v>Cabo Sillón</x:v>
      </x:c>
      <x:c r="I70" s="17" t="str">
        <x:v>Zapotlán</x:v>
      </x:c>
      <x:c r="J70" s="17"/>
      <x:c r="K70" s="17" t="str">
        <x:v>Acero con pintura Y cuerda de Polipropileno Acero con pintura electroestática , cuerda de</x:v>
      </x:c>
      <x:c r="L70" s="17" t="str">
        <x:v>90*79*94</x:v>
      </x:c>
      <x:c r="M70" s="17" t="str">
        <x:v>Acero con pintura Electroestática Y cuerda de Multifilamento de Polipropileno Uso exterior techado 90*79*94 No incluye cojinería (opción galvanizada 100% exterior) Variante Monte Alban Zapotlán Love 160*82*95 alto Acero con pintura electroestática , cuerda de multifilamento y tela Acero galvanizado con pintura electroestática cuerda textilene y loneta de exterior</x:v>
      </x:c>
      <x:c r="N70" s="22" t="str">
        <x:v>pieza</x:v>
      </x:c>
      <x:c r="O70" s="23" t="n">
        <x:v>12990</x:v>
      </x:c>
      <x:c r="P70" s="23" t="n">
        <x:v>14990</x:v>
      </x:c>
      <x:c r="Q70" s="17" t="str">
        <x:v>$14,990 – $12,990</x:v>
      </x:c>
      <x:c r="R70" s="22" t="str">
        <x:v>confirmado</x:v>
      </x:c>
      <x:c r="S70" s="22" t="str">
        <x:v>Sí</x:v>
      </x:c>
      <x:c r="T70" s="24"/>
      <x:c r="U70" s="17" t="str">
        <x:v>https://graph.microsoft.com/v1.0/me/drive/items/01DHXXN7YJMCJUVPBWNJEJPJIH7B4OTAUR#page=30</x:v>
      </x:c>
      <x:c r="V70" s="17" t="str">
        <x:v>https://graph.microsoft.com/v1.0/me/drive/items/01DHXXN7YJMCJUVPBWNJEJPJIH7B4OTAUR</x:v>
      </x:c>
      <x:c r="W70" s="17" t="str">
        <x:v>bb0c6183f9826f21321e5a9ddced4a209c989a5727c4a50cec9f1bb492f98a42</x:v>
      </x:c>
      <x:c r="X70" s="17" t="str">
        <x:v>SKU no publicado; se conserva una identidad técnica estable.</x:v>
      </x:c>
    </x:row>
    <x:row r="71" ht="34" customHeight="1">
      <x:c r="A71" s="17" t="str">
        <x:v>IDÉLIKA</x:v>
      </x:c>
      <x:c r="B71" s="17" t="str">
        <x:v>Fabricacion</x:v>
      </x:c>
      <x:c r="C71" s="17" t="str">
        <x:v>1 CATALOGO FABRICACION 2026B.pdf</x:v>
      </x:c>
      <x:c r="D71" s="21" t="n">
        <x:v>30</x:v>
      </x:c>
      <x:c r="E71" s="17" t="str">
        <x:v>idelika:fabricacion:sin-sku:ff4ebd33647d11da1654</x:v>
      </x:c>
      <x:c r="F71" s="17"/>
      <x:c r="G71" s="22" t="str">
        <x:v>por_verificar</x:v>
      </x:c>
      <x:c r="H71" s="17" t="str">
        <x:v>Cabo Sillón</x:v>
      </x:c>
      <x:c r="I71" s="17" t="str">
        <x:v>Zapotlán</x:v>
      </x:c>
      <x:c r="J71" s="17" t="str">
        <x:v>exterior techado</x:v>
      </x:c>
      <x:c r="K71" s="17" t="str">
        <x:v>Acero con pintura Y cuerda de Polipropileno Acero con pintura electroestática , cuerda de</x:v>
      </x:c>
      <x:c r="L71" s="17" t="str">
        <x:v>160*82*95 alto</x:v>
      </x:c>
      <x:c r="M71" s="17" t="str">
        <x:v>Acero con pintura Electroestática Y cuerda de Multifilamento de Polipropileno Uso exterior techado 90*79*94 No incluye cojinería (opción galvanizada 100% exterior) Variante Monte Alban Zapotlán Love 160*82*95 alto Acero con pintura electroestática , cuerda de multifilamento y tela Acero galvanizado con pintura electroestática cuerda textilene y loneta de exterior</x:v>
      </x:c>
      <x:c r="N71" s="22" t="str">
        <x:v>pieza</x:v>
      </x:c>
      <x:c r="O71" s="23" t="n">
        <x:v>11990</x:v>
      </x:c>
      <x:c r="P71" s="23" t="n">
        <x:v>13990</x:v>
      </x:c>
      <x:c r="Q71" s="17" t="str">
        <x:v>$13,990 – $11,990 exterior techado</x:v>
      </x:c>
      <x:c r="R71" s="22" t="str">
        <x:v>confirmado</x:v>
      </x:c>
      <x:c r="S71" s="22" t="str">
        <x:v>Sí</x:v>
      </x:c>
      <x:c r="T71" s="24"/>
      <x:c r="U71" s="17" t="str">
        <x:v>https://graph.microsoft.com/v1.0/me/drive/items/01DHXXN7YJMCJUVPBWNJEJPJIH7B4OTAUR#page=30</x:v>
      </x:c>
      <x:c r="V71" s="17" t="str">
        <x:v>https://graph.microsoft.com/v1.0/me/drive/items/01DHXXN7YJMCJUVPBWNJEJPJIH7B4OTAUR</x:v>
      </x:c>
      <x:c r="W71" s="17" t="str">
        <x:v>ff4ebd33647d11da1654aa5dc77343721ef1ff02ce58adb17346e6563be17e24</x:v>
      </x:c>
      <x:c r="X71" s="17" t="str">
        <x:v>SKU no publicado; se conserva una identidad técnica estable.</x:v>
      </x:c>
    </x:row>
    <x:row r="72" ht="34" customHeight="1">
      <x:c r="A72" s="17" t="str">
        <x:v>IDÉLIKA</x:v>
      </x:c>
      <x:c r="B72" s="17" t="str">
        <x:v>Fabricacion</x:v>
      </x:c>
      <x:c r="C72" s="17" t="str">
        <x:v>1 CATALOGO FABRICACION 2026B.pdf</x:v>
      </x:c>
      <x:c r="D72" s="21" t="n">
        <x:v>30</x:v>
      </x:c>
      <x:c r="E72" s="17" t="str">
        <x:v>idelika:fabricacion:sin-sku:9386dd57a679b2a6fab7</x:v>
      </x:c>
      <x:c r="F72" s="17"/>
      <x:c r="G72" s="22" t="str">
        <x:v>por_verificar</x:v>
      </x:c>
      <x:c r="H72" s="17" t="str">
        <x:v>Cabo Sillón</x:v>
      </x:c>
      <x:c r="I72" s="17" t="str">
        <x:v>Zapotlán</x:v>
      </x:c>
      <x:c r="J72" s="17" t="str">
        <x:v>exterior 100%</x:v>
      </x:c>
      <x:c r="K72" s="17" t="str">
        <x:v>Acero con pintura Y cuerda de Polipropileno Acero con pintura electroestática , cuerda de</x:v>
      </x:c>
      <x:c r="L72" s="17"/>
      <x:c r="M72" s="17" t="str">
        <x:v>Acero con pintura Electroestática Y cuerda de Multifilamento de Polipropileno Uso exterior techado 90*79*94 No incluye cojinería (opción galvanizada 100% exterior) Variante Monte Alban Zapotlán Love 160*82*95 alto Acero con pintura electroestática , cuerda de multifilamento y tela Acero galvanizado con pintura electroestática cuerda textilene y loneta de exterior</x:v>
      </x:c>
      <x:c r="N72" s="22" t="str">
        <x:v>pieza</x:v>
      </x:c>
      <x:c r="O72" s="23" t="n">
        <x:v>13990</x:v>
      </x:c>
      <x:c r="P72" s="23" t="n">
        <x:v>16990</x:v>
      </x:c>
      <x:c r="Q72" s="17" t="str">
        <x:v>$16,990 – $13,990 exterior 100%</x:v>
      </x:c>
      <x:c r="R72" s="22" t="str">
        <x:v>confirmado</x:v>
      </x:c>
      <x:c r="S72" s="22" t="str">
        <x:v>Sí</x:v>
      </x:c>
      <x:c r="T72" s="24"/>
      <x:c r="U72" s="17" t="str">
        <x:v>https://graph.microsoft.com/v1.0/me/drive/items/01DHXXN7YJMCJUVPBWNJEJPJIH7B4OTAUR#page=30</x:v>
      </x:c>
      <x:c r="V72" s="17" t="str">
        <x:v>https://graph.microsoft.com/v1.0/me/drive/items/01DHXXN7YJMCJUVPBWNJEJPJIH7B4OTAUR</x:v>
      </x:c>
      <x:c r="W72" s="17" t="str">
        <x:v>9386dd57a679b2a6fab7619c000643690b3e4a4b886e4ff6b10d3d6c5b081686</x:v>
      </x:c>
      <x:c r="X72" s="17" t="str">
        <x:v>SKU no publicado; se conserva una identidad técnica estable.</x:v>
      </x:c>
    </x:row>
    <x:row r="73" ht="34" customHeight="1">
      <x:c r="A73" s="17" t="str">
        <x:v>IDÉLIKA</x:v>
      </x:c>
      <x:c r="B73" s="17" t="str">
        <x:v>Fabricacion</x:v>
      </x:c>
      <x:c r="C73" s="17" t="str">
        <x:v>1 CATALOGO FABRICACION 2026B.pdf</x:v>
      </x:c>
      <x:c r="D73" s="21" t="n">
        <x:v>30</x:v>
      </x:c>
      <x:c r="E73" s="17" t="str">
        <x:v>idelika:fabricacion:sin-sku:150087fe89ac87f525d7</x:v>
      </x:c>
      <x:c r="F73" s="17"/>
      <x:c r="G73" s="22" t="str">
        <x:v>por_verificar</x:v>
      </x:c>
      <x:c r="H73" s="17" t="str">
        <x:v>Zapotlán sillón</x:v>
      </x:c>
      <x:c r="I73" s="17" t="str">
        <x:v>Zapotlán</x:v>
      </x:c>
      <x:c r="J73" s="17" t="str">
        <x:v>exterior techado</x:v>
      </x:c>
      <x:c r="K73" s="17" t="str">
        <x:v>Acero con pintura electroestática , cuerda de multifilamento y tela Acero galvanizado con pintura electroestática cuerda textilene y loneta de exterior</x:v>
      </x:c>
      <x:c r="L73" s="17" t="str">
        <x:v>74*60*95 alto</x:v>
      </x:c>
      <x:c r="M73" s="17" t="str">
        <x:v>74*60*95 alto Acero con pintura electroestática , cuerda de multifilamento y tela Acero galvanizado con pintura electroestática cuerda textilene y loneta de exterior</x:v>
      </x:c>
      <x:c r="N73" s="22" t="str">
        <x:v>pieza</x:v>
      </x:c>
      <x:c r="O73" s="23" t="n">
        <x:v>6990</x:v>
      </x:c>
      <x:c r="P73" s="23" t="n">
        <x:v>7990</x:v>
      </x:c>
      <x:c r="Q73" s="17" t="str">
        <x:v>$7,990 – $6,990 exterior techado</x:v>
      </x:c>
      <x:c r="R73" s="22" t="str">
        <x:v>confirmado</x:v>
      </x:c>
      <x:c r="S73" s="22" t="str">
        <x:v>Sí</x:v>
      </x:c>
      <x:c r="T73" s="24"/>
      <x:c r="U73" s="17" t="str">
        <x:v>https://graph.microsoft.com/v1.0/me/drive/items/01DHXXN7YJMCJUVPBWNJEJPJIH7B4OTAUR#page=30</x:v>
      </x:c>
      <x:c r="V73" s="17" t="str">
        <x:v>https://graph.microsoft.com/v1.0/me/drive/items/01DHXXN7YJMCJUVPBWNJEJPJIH7B4OTAUR</x:v>
      </x:c>
      <x:c r="W73" s="17" t="str">
        <x:v>150087fe89ac87f525d74445d441a97e3b3586ab7d209f92d37b468fb3e29dee</x:v>
      </x:c>
      <x:c r="X73" s="17" t="str">
        <x:v>SKU no publicado; se conserva una identidad técnica estable.</x:v>
      </x:c>
    </x:row>
    <x:row r="74" ht="34" customHeight="1">
      <x:c r="A74" s="17" t="str">
        <x:v>IDÉLIKA</x:v>
      </x:c>
      <x:c r="B74" s="17" t="str">
        <x:v>Fabricacion</x:v>
      </x:c>
      <x:c r="C74" s="17" t="str">
        <x:v>1 CATALOGO FABRICACION 2026B.pdf</x:v>
      </x:c>
      <x:c r="D74" s="21" t="n">
        <x:v>30</x:v>
      </x:c>
      <x:c r="E74" s="17" t="str">
        <x:v>idelika:fabricacion:sin-sku:6648b9f581410b6a1dd5</x:v>
      </x:c>
      <x:c r="F74" s="17"/>
      <x:c r="G74" s="22" t="str">
        <x:v>por_verificar</x:v>
      </x:c>
      <x:c r="H74" s="17" t="str">
        <x:v>Zapotlán sillón</x:v>
      </x:c>
      <x:c r="I74" s="17" t="str">
        <x:v>Zapotlán</x:v>
      </x:c>
      <x:c r="J74" s="17" t="str">
        <x:v>exterior 100%</x:v>
      </x:c>
      <x:c r="K74" s="17" t="str">
        <x:v>Acero con pintura electroestática , cuerda de multifilamento y tela Acero galvanizado con pintura electroestática cuerda textilene y loneta de exterior</x:v>
      </x:c>
      <x:c r="L74" s="17"/>
      <x:c r="M74" s="17" t="str">
        <x:v>74*60*95 alto Acero con pintura electroestática , cuerda de multifilamento y tela Acero galvanizado con pintura electroestática cuerda textilene y loneta de exterior</x:v>
      </x:c>
      <x:c r="N74" s="22" t="str">
        <x:v>pieza</x:v>
      </x:c>
      <x:c r="O74" s="23" t="n">
        <x:v>8990</x:v>
      </x:c>
      <x:c r="P74" s="23" t="n">
        <x:v>9990</x:v>
      </x:c>
      <x:c r="Q74" s="17" t="str">
        <x:v>$9,990 – $8,990 exterior 100%</x:v>
      </x:c>
      <x:c r="R74" s="22" t="str">
        <x:v>confirmado</x:v>
      </x:c>
      <x:c r="S74" s="22" t="str">
        <x:v>Sí</x:v>
      </x:c>
      <x:c r="T74" s="24"/>
      <x:c r="U74" s="17" t="str">
        <x:v>https://graph.microsoft.com/v1.0/me/drive/items/01DHXXN7YJMCJUVPBWNJEJPJIH7B4OTAUR#page=30</x:v>
      </x:c>
      <x:c r="V74" s="17" t="str">
        <x:v>https://graph.microsoft.com/v1.0/me/drive/items/01DHXXN7YJMCJUVPBWNJEJPJIH7B4OTAUR</x:v>
      </x:c>
      <x:c r="W74" s="17" t="str">
        <x:v>6648b9f581410b6a1dd59d3ebe9e8a3fbb1b7fc19b6738d857bbd284fe365dd5</x:v>
      </x:c>
      <x:c r="X74" s="17" t="str">
        <x:v>SKU no publicado; se conserva una identidad técnica estable.</x:v>
      </x:c>
    </x:row>
    <x:row r="75" ht="34" customHeight="1">
      <x:c r="A75" s="17" t="str">
        <x:v>IDÉLIKA</x:v>
      </x:c>
      <x:c r="B75" s="17" t="str">
        <x:v>Fabricacion</x:v>
      </x:c>
      <x:c r="C75" s="17" t="str">
        <x:v>1 CATALOGO FABRICACION 2026B.pdf</x:v>
      </x:c>
      <x:c r="D75" s="21" t="n">
        <x:v>30</x:v>
      </x:c>
      <x:c r="E75" s="17" t="str">
        <x:v>idelika:fabricacion:sin-sku:36ad9861220bdfe77756</x:v>
      </x:c>
      <x:c r="F75" s="17"/>
      <x:c r="G75" s="22" t="str">
        <x:v>por_verificar</x:v>
      </x:c>
      <x:c r="H75" s="17" t="str">
        <x:v>Zapotlán sofá</x:v>
      </x:c>
      <x:c r="I75" s="17" t="str">
        <x:v>Zapotlán</x:v>
      </x:c>
      <x:c r="J75" s="17" t="str">
        <x:v>exterior techado</x:v>
      </x:c>
      <x:c r="K75" s="17" t="str">
        <x:v>Acero con pintura electroestática , cuerda de multifilamento y tela Acero galvanizado con pintura electroestática cuerda textilene y loneta de exterior</x:v>
      </x:c>
      <x:c r="L75" s="17" t="str">
        <x:v>190*82*95 alto</x:v>
      </x:c>
      <x:c r="M75" s="17" t="str">
        <x:v>190*82*95 alto Acero con pintura electroestática , cuerda de multifilamento y tela Acero galvanizado con pintura electroestática cuerda textilene y loneta de exterior</x:v>
      </x:c>
      <x:c r="N75" s="22" t="str">
        <x:v>pieza</x:v>
      </x:c>
      <x:c r="O75" s="23" t="n">
        <x:v>14990</x:v>
      </x:c>
      <x:c r="P75" s="23" t="n">
        <x:v>16990</x:v>
      </x:c>
      <x:c r="Q75" s="17" t="str">
        <x:v>$16,990 – $14,990 exterior techado</x:v>
      </x:c>
      <x:c r="R75" s="22" t="str">
        <x:v>confirmado</x:v>
      </x:c>
      <x:c r="S75" s="22" t="str">
        <x:v>Sí</x:v>
      </x:c>
      <x:c r="T75" s="24"/>
      <x:c r="U75" s="17" t="str">
        <x:v>https://graph.microsoft.com/v1.0/me/drive/items/01DHXXN7YJMCJUVPBWNJEJPJIH7B4OTAUR#page=30</x:v>
      </x:c>
      <x:c r="V75" s="17" t="str">
        <x:v>https://graph.microsoft.com/v1.0/me/drive/items/01DHXXN7YJMCJUVPBWNJEJPJIH7B4OTAUR</x:v>
      </x:c>
      <x:c r="W75" s="17" t="str">
        <x:v>36ad9861220bdfe77756e4bebd4b3a9a812b56615ee0ff2065712cf86d65a1fd</x:v>
      </x:c>
      <x:c r="X75" s="17" t="str">
        <x:v>SKU no publicado; se conserva una identidad técnica estable.</x:v>
      </x:c>
    </x:row>
    <x:row r="76" ht="34" customHeight="1">
      <x:c r="A76" s="17" t="str">
        <x:v>IDÉLIKA</x:v>
      </x:c>
      <x:c r="B76" s="17" t="str">
        <x:v>Fabricacion</x:v>
      </x:c>
      <x:c r="C76" s="17" t="str">
        <x:v>1 CATALOGO FABRICACION 2026B.pdf</x:v>
      </x:c>
      <x:c r="D76" s="21" t="n">
        <x:v>30</x:v>
      </x:c>
      <x:c r="E76" s="17" t="str">
        <x:v>idelika:fabricacion:sin-sku:251b016fc0215324393b</x:v>
      </x:c>
      <x:c r="F76" s="17"/>
      <x:c r="G76" s="22" t="str">
        <x:v>por_verificar</x:v>
      </x:c>
      <x:c r="H76" s="17" t="str">
        <x:v>Zapotlán sofá</x:v>
      </x:c>
      <x:c r="I76" s="17" t="str">
        <x:v>Zapotlán</x:v>
      </x:c>
      <x:c r="J76" s="17" t="str">
        <x:v>exterior 100%</x:v>
      </x:c>
      <x:c r="K76" s="17" t="str">
        <x:v>Acero con pintura electroestática , cuerda de multifilamento y tela Acero galvanizado con pintura electroestática cuerda textilene y loneta de exterior</x:v>
      </x:c>
      <x:c r="L76" s="17"/>
      <x:c r="M76" s="17" t="str">
        <x:v>190*82*95 alto Acero con pintura electroestática , cuerda de multifilamento y tela Acero galvanizado con pintura electroestática cuerda textilene y loneta de exterior</x:v>
      </x:c>
      <x:c r="N76" s="22" t="str">
        <x:v>pieza</x:v>
      </x:c>
      <x:c r="O76" s="23" t="n">
        <x:v>19990</x:v>
      </x:c>
      <x:c r="P76" s="23" t="n">
        <x:v>21990</x:v>
      </x:c>
      <x:c r="Q76" s="17" t="str">
        <x:v>$21,990 – $19,990 exterior 100%</x:v>
      </x:c>
      <x:c r="R76" s="22" t="str">
        <x:v>confirmado</x:v>
      </x:c>
      <x:c r="S76" s="22" t="str">
        <x:v>Sí</x:v>
      </x:c>
      <x:c r="T76" s="24"/>
      <x:c r="U76" s="17" t="str">
        <x:v>https://graph.microsoft.com/v1.0/me/drive/items/01DHXXN7YJMCJUVPBWNJEJPJIH7B4OTAUR#page=30</x:v>
      </x:c>
      <x:c r="V76" s="17" t="str">
        <x:v>https://graph.microsoft.com/v1.0/me/drive/items/01DHXXN7YJMCJUVPBWNJEJPJIH7B4OTAUR</x:v>
      </x:c>
      <x:c r="W76" s="17" t="str">
        <x:v>251b016fc0215324393bf88684b47fdb9f87e81fd2f2a6e189624147bb625ae1</x:v>
      </x:c>
      <x:c r="X76" s="17" t="str">
        <x:v>SKU no publicado; se conserva una identidad técnica estable.</x:v>
      </x:c>
    </x:row>
    <x:row r="77" ht="34" customHeight="1">
      <x:c r="A77" s="17" t="str">
        <x:v>IDÉLIKA</x:v>
      </x:c>
      <x:c r="B77" s="17" t="str">
        <x:v>Fabricacion</x:v>
      </x:c>
      <x:c r="C77" s="17" t="str">
        <x:v>1 CATALOGO FABRICACION 2026B.pdf</x:v>
      </x:c>
      <x:c r="D77" s="21" t="n">
        <x:v>31</x:v>
      </x:c>
      <x:c r="E77" s="17" t="str">
        <x:v>idelika:fabricacion:sin-sku:f1cab09068b14b51a5f0</x:v>
      </x:c>
      <x:c r="F77" s="17"/>
      <x:c r="G77" s="22" t="str">
        <x:v>por_verificar</x:v>
      </x:c>
      <x:c r="H77" s="17" t="str">
        <x:v>Colección Chetumal Chetumal Love</x:v>
      </x:c>
      <x:c r="I77" s="17" t="str">
        <x:v>Chetumal</x:v>
      </x:c>
      <x:c r="J77" s="17" t="str">
        <x:v>exterior techado</x:v>
      </x:c>
      <x:c r="K77" s="17" t="str">
        <x:v>Acero con pintura electroestática , cuerda de multifilamento y tela Acero galvanizado con pintura electroestática cuerda textilene y loneta de exterior</x:v>
      </x:c>
      <x:c r="L77" s="17" t="str">
        <x:v>160*78*81 alto</x:v>
      </x:c>
      <x:c r="M77" s="17" t="str">
        <x:v>160*78*81 alto Acero con pintura electroestática , cuerda de multifilamento y tela Acero galvanizado con pintura electroestática cuerda textilene y loneta de exterior</x:v>
      </x:c>
      <x:c r="N77" s="22" t="str">
        <x:v>pieza</x:v>
      </x:c>
      <x:c r="O77" s="23" t="n">
        <x:v>11990</x:v>
      </x:c>
      <x:c r="P77" s="23" t="n">
        <x:v>13990</x:v>
      </x:c>
      <x:c r="Q77" s="17" t="str">
        <x:v>$13,990 – $11,990 exterior techado</x:v>
      </x:c>
      <x:c r="R77" s="22" t="str">
        <x:v>confirmado</x:v>
      </x:c>
      <x:c r="S77" s="22" t="str">
        <x:v>Sí</x:v>
      </x:c>
      <x:c r="T77" s="24"/>
      <x:c r="U77" s="17" t="str">
        <x:v>https://graph.microsoft.com/v1.0/me/drive/items/01DHXXN7YJMCJUVPBWNJEJPJIH7B4OTAUR#page=31</x:v>
      </x:c>
      <x:c r="V77" s="17" t="str">
        <x:v>https://graph.microsoft.com/v1.0/me/drive/items/01DHXXN7YJMCJUVPBWNJEJPJIH7B4OTAUR</x:v>
      </x:c>
      <x:c r="W77" s="17" t="str">
        <x:v>f1cab09068b14b51a5f0725fadc250e15bb005dc05d162f45c263a75e685470f</x:v>
      </x:c>
      <x:c r="X77" s="17" t="str">
        <x:v>SKU no publicado; se conserva una identidad técnica estable.</x:v>
      </x:c>
    </x:row>
    <x:row r="78" ht="34" customHeight="1">
      <x:c r="A78" s="17" t="str">
        <x:v>IDÉLIKA</x:v>
      </x:c>
      <x:c r="B78" s="17" t="str">
        <x:v>Fabricacion</x:v>
      </x:c>
      <x:c r="C78" s="17" t="str">
        <x:v>1 CATALOGO FABRICACION 2026B.pdf</x:v>
      </x:c>
      <x:c r="D78" s="21" t="n">
        <x:v>31</x:v>
      </x:c>
      <x:c r="E78" s="17" t="str">
        <x:v>idelika:fabricacion:sin-sku:529e5739421555f22142</x:v>
      </x:c>
      <x:c r="F78" s="17"/>
      <x:c r="G78" s="22" t="str">
        <x:v>por_verificar</x:v>
      </x:c>
      <x:c r="H78" s="17" t="str">
        <x:v>Colección Chetumal Chetumal Love</x:v>
      </x:c>
      <x:c r="I78" s="17" t="str">
        <x:v>Chetumal</x:v>
      </x:c>
      <x:c r="J78" s="17" t="str">
        <x:v>exterior 100%</x:v>
      </x:c>
      <x:c r="K78" s="17" t="str">
        <x:v>Acero con pintura electroestática , cuerda de multifilamento y tela Acero galvanizado con pintura electroestática cuerda textilene y loneta de exterior</x:v>
      </x:c>
      <x:c r="L78" s="17"/>
      <x:c r="M78" s="17" t="str">
        <x:v>160*78*81 alto Acero con pintura electroestática , cuerda de multifilamento y tela Acero galvanizado con pintura electroestática cuerda textilene y loneta de exterior</x:v>
      </x:c>
      <x:c r="N78" s="22" t="str">
        <x:v>pieza</x:v>
      </x:c>
      <x:c r="O78" s="23" t="n">
        <x:v>14990</x:v>
      </x:c>
      <x:c r="P78" s="23" t="n">
        <x:v>17990</x:v>
      </x:c>
      <x:c r="Q78" s="17" t="str">
        <x:v>$17,990 – $14,990 exterior 100%</x:v>
      </x:c>
      <x:c r="R78" s="22" t="str">
        <x:v>confirmado</x:v>
      </x:c>
      <x:c r="S78" s="22" t="str">
        <x:v>Sí</x:v>
      </x:c>
      <x:c r="T78" s="24"/>
      <x:c r="U78" s="17" t="str">
        <x:v>https://graph.microsoft.com/v1.0/me/drive/items/01DHXXN7YJMCJUVPBWNJEJPJIH7B4OTAUR#page=31</x:v>
      </x:c>
      <x:c r="V78" s="17" t="str">
        <x:v>https://graph.microsoft.com/v1.0/me/drive/items/01DHXXN7YJMCJUVPBWNJEJPJIH7B4OTAUR</x:v>
      </x:c>
      <x:c r="W78" s="17" t="str">
        <x:v>529e5739421555f2214292edec18aa09529e09e29c043c29cce10358a4817cda</x:v>
      </x:c>
      <x:c r="X78" s="17" t="str">
        <x:v>SKU no publicado; se conserva una identidad técnica estable.</x:v>
      </x:c>
    </x:row>
    <x:row r="79" ht="34" customHeight="1">
      <x:c r="A79" s="17" t="str">
        <x:v>IDÉLIKA</x:v>
      </x:c>
      <x:c r="B79" s="17" t="str">
        <x:v>Fabricacion</x:v>
      </x:c>
      <x:c r="C79" s="17" t="str">
        <x:v>1 CATALOGO FABRICACION 2026B.pdf</x:v>
      </x:c>
      <x:c r="D79" s="21" t="n">
        <x:v>31</x:v>
      </x:c>
      <x:c r="E79" s="17" t="str">
        <x:v>idelika:fabricacion:sin-sku:b092205477ad15fab077</x:v>
      </x:c>
      <x:c r="F79" s="17"/>
      <x:c r="G79" s="22" t="str">
        <x:v>por_verificar</x:v>
      </x:c>
      <x:c r="H79" s="17" t="str">
        <x:v>Chetumal sillón</x:v>
      </x:c>
      <x:c r="I79" s="17" t="str">
        <x:v>Chetumal</x:v>
      </x:c>
      <x:c r="J79" s="17" t="str">
        <x:v>exterior techado</x:v>
      </x:c>
      <x:c r="K79" s="17" t="str">
        <x:v>Acero con pintura electroestática , cuerda de multifilamento y tela Acero galvanizado con pintura electroestática cuerda textilene y loneta de exterior</x:v>
      </x:c>
      <x:c r="L79" s="17" t="str">
        <x:v>90*78*81 alto</x:v>
      </x:c>
      <x:c r="M79" s="17" t="str">
        <x:v>90*78*81 alto Acero con pintura electroestática , cuerda de multifilamento y tela Acero galvanizado con pintura electroestática cuerda textilene y loneta de exterior</x:v>
      </x:c>
      <x:c r="N79" s="22" t="str">
        <x:v>pieza</x:v>
      </x:c>
      <x:c r="O79" s="23" t="n">
        <x:v>6990</x:v>
      </x:c>
      <x:c r="P79" s="23" t="n">
        <x:v>7990</x:v>
      </x:c>
      <x:c r="Q79" s="17" t="str">
        <x:v>$7,990 – $6,990 exterior techado</x:v>
      </x:c>
      <x:c r="R79" s="22" t="str">
        <x:v>confirmado</x:v>
      </x:c>
      <x:c r="S79" s="22" t="str">
        <x:v>Sí</x:v>
      </x:c>
      <x:c r="T79" s="24"/>
      <x:c r="U79" s="17" t="str">
        <x:v>https://graph.microsoft.com/v1.0/me/drive/items/01DHXXN7YJMCJUVPBWNJEJPJIH7B4OTAUR#page=31</x:v>
      </x:c>
      <x:c r="V79" s="17" t="str">
        <x:v>https://graph.microsoft.com/v1.0/me/drive/items/01DHXXN7YJMCJUVPBWNJEJPJIH7B4OTAUR</x:v>
      </x:c>
      <x:c r="W79" s="17" t="str">
        <x:v>b092205477ad15fab077051b1a65c6b44141acdbc735dc15b0013487db265653</x:v>
      </x:c>
      <x:c r="X79" s="17" t="str">
        <x:v>SKU no publicado; se conserva una identidad técnica estable.</x:v>
      </x:c>
    </x:row>
    <x:row r="80" ht="34" customHeight="1">
      <x:c r="A80" s="17" t="str">
        <x:v>IDÉLIKA</x:v>
      </x:c>
      <x:c r="B80" s="17" t="str">
        <x:v>Fabricacion</x:v>
      </x:c>
      <x:c r="C80" s="17" t="str">
        <x:v>1 CATALOGO FABRICACION 2026B.pdf</x:v>
      </x:c>
      <x:c r="D80" s="21" t="n">
        <x:v>31</x:v>
      </x:c>
      <x:c r="E80" s="17" t="str">
        <x:v>idelika:fabricacion:sin-sku:210dc6776143c60a9f92</x:v>
      </x:c>
      <x:c r="F80" s="17"/>
      <x:c r="G80" s="22" t="str">
        <x:v>por_verificar</x:v>
      </x:c>
      <x:c r="H80" s="17" t="str">
        <x:v>Chetumal sillón</x:v>
      </x:c>
      <x:c r="I80" s="17" t="str">
        <x:v>Chetumal</x:v>
      </x:c>
      <x:c r="J80" s="17" t="str">
        <x:v>exterior 100%</x:v>
      </x:c>
      <x:c r="K80" s="17" t="str">
        <x:v>Acero con pintura electroestática , cuerda de multifilamento y tela Acero galvanizado con pintura electroestática cuerda textilene y loneta de exterior</x:v>
      </x:c>
      <x:c r="L80" s="17"/>
      <x:c r="M80" s="17" t="str">
        <x:v>90*78*81 alto Acero con pintura electroestática , cuerda de multifilamento y tela Acero galvanizado con pintura electroestática cuerda textilene y loneta de exterior</x:v>
      </x:c>
      <x:c r="N80" s="22" t="str">
        <x:v>pieza</x:v>
      </x:c>
      <x:c r="O80" s="23" t="n">
        <x:v>8990</x:v>
      </x:c>
      <x:c r="P80" s="23" t="n">
        <x:v>9990</x:v>
      </x:c>
      <x:c r="Q80" s="17" t="str">
        <x:v>$9,990 – $8,990 exterior 100%</x:v>
      </x:c>
      <x:c r="R80" s="22" t="str">
        <x:v>confirmado</x:v>
      </x:c>
      <x:c r="S80" s="22" t="str">
        <x:v>Sí</x:v>
      </x:c>
      <x:c r="T80" s="24"/>
      <x:c r="U80" s="17" t="str">
        <x:v>https://graph.microsoft.com/v1.0/me/drive/items/01DHXXN7YJMCJUVPBWNJEJPJIH7B4OTAUR#page=31</x:v>
      </x:c>
      <x:c r="V80" s="17" t="str">
        <x:v>https://graph.microsoft.com/v1.0/me/drive/items/01DHXXN7YJMCJUVPBWNJEJPJIH7B4OTAUR</x:v>
      </x:c>
      <x:c r="W80" s="17" t="str">
        <x:v>210dc6776143c60a9f921d721252269fcf11229ae4a5d9c91f585a5a13f7955f</x:v>
      </x:c>
      <x:c r="X80" s="17" t="str">
        <x:v>SKU no publicado; se conserva una identidad técnica estable.</x:v>
      </x:c>
    </x:row>
    <x:row r="81" ht="34" customHeight="1">
      <x:c r="A81" s="17" t="str">
        <x:v>IDÉLIKA</x:v>
      </x:c>
      <x:c r="B81" s="17" t="str">
        <x:v>Fabricacion</x:v>
      </x:c>
      <x:c r="C81" s="17" t="str">
        <x:v>1 CATALOGO FABRICACION 2026B.pdf</x:v>
      </x:c>
      <x:c r="D81" s="21" t="n">
        <x:v>31</x:v>
      </x:c>
      <x:c r="E81" s="17" t="str">
        <x:v>idelika:fabricacion:sin-sku:f61b58726e0b22664afe</x:v>
      </x:c>
      <x:c r="F81" s="17"/>
      <x:c r="G81" s="22" t="str">
        <x:v>por_verificar</x:v>
      </x:c>
      <x:c r="H81" s="17" t="str">
        <x:v>Chetumal Sofá</x:v>
      </x:c>
      <x:c r="I81" s="17" t="str">
        <x:v>Chetumal</x:v>
      </x:c>
      <x:c r="J81" s="17" t="str">
        <x:v>exterior techado</x:v>
      </x:c>
      <x:c r="K81" s="17" t="str">
        <x:v>Acero con pintura electroestática , cuerda de multifilamento y tela Acero galvanizado con pintura electroestática cuerda textilene y loneta de exterior</x:v>
      </x:c>
      <x:c r="L81" s="17" t="str">
        <x:v>190*78*81 alto</x:v>
      </x:c>
      <x:c r="M81" s="17" t="str">
        <x:v>190*78*81 alto Acero con pintura electroestática , cuerda de multifilamento y tela Acero galvanizado con pintura electroestática cuerda textilene y loneta de exterior</x:v>
      </x:c>
      <x:c r="N81" s="22" t="str">
        <x:v>pieza</x:v>
      </x:c>
      <x:c r="O81" s="23" t="n">
        <x:v>15990</x:v>
      </x:c>
      <x:c r="P81" s="23" t="n">
        <x:v>17990</x:v>
      </x:c>
      <x:c r="Q81" s="17" t="str">
        <x:v>$17,990 – $15,990 exterior techado</x:v>
      </x:c>
      <x:c r="R81" s="22" t="str">
        <x:v>confirmado</x:v>
      </x:c>
      <x:c r="S81" s="22" t="str">
        <x:v>Sí</x:v>
      </x:c>
      <x:c r="T81" s="24"/>
      <x:c r="U81" s="17" t="str">
        <x:v>https://graph.microsoft.com/v1.0/me/drive/items/01DHXXN7YJMCJUVPBWNJEJPJIH7B4OTAUR#page=31</x:v>
      </x:c>
      <x:c r="V81" s="17" t="str">
        <x:v>https://graph.microsoft.com/v1.0/me/drive/items/01DHXXN7YJMCJUVPBWNJEJPJIH7B4OTAUR</x:v>
      </x:c>
      <x:c r="W81" s="17" t="str">
        <x:v>f61b58726e0b22664afe7c9088e2c30eee21547b2f2cc9cb4f9275e4241551a6</x:v>
      </x:c>
      <x:c r="X81" s="17" t="str">
        <x:v>SKU no publicado; se conserva una identidad técnica estable.</x:v>
      </x:c>
    </x:row>
    <x:row r="82" ht="34" customHeight="1">
      <x:c r="A82" s="17" t="str">
        <x:v>IDÉLIKA</x:v>
      </x:c>
      <x:c r="B82" s="17" t="str">
        <x:v>Fabricacion</x:v>
      </x:c>
      <x:c r="C82" s="17" t="str">
        <x:v>1 CATALOGO FABRICACION 2026B.pdf</x:v>
      </x:c>
      <x:c r="D82" s="21" t="n">
        <x:v>31</x:v>
      </x:c>
      <x:c r="E82" s="17" t="str">
        <x:v>idelika:fabricacion:sin-sku:bfc1b6a1c44f1d73d000</x:v>
      </x:c>
      <x:c r="F82" s="17"/>
      <x:c r="G82" s="22" t="str">
        <x:v>por_verificar</x:v>
      </x:c>
      <x:c r="H82" s="17" t="str">
        <x:v>Chetumal Sofá</x:v>
      </x:c>
      <x:c r="I82" s="17" t="str">
        <x:v>Chetumal</x:v>
      </x:c>
      <x:c r="J82" s="17" t="str">
        <x:v>exterior 100%</x:v>
      </x:c>
      <x:c r="K82" s="17" t="str">
        <x:v>Acero con pintura electroestática , cuerda de multifilamento y tela Acero galvanizado con pintura electroestática cuerda textilene y loneta de exterior</x:v>
      </x:c>
      <x:c r="L82" s="17"/>
      <x:c r="M82" s="17" t="str">
        <x:v>190*78*81 alto Acero con pintura electroestática , cuerda de multifilamento y tela Acero galvanizado con pintura electroestática cuerda textilene y loneta de exterior</x:v>
      </x:c>
      <x:c r="N82" s="22" t="str">
        <x:v>pieza</x:v>
      </x:c>
      <x:c r="O82" s="23" t="n">
        <x:v>21990</x:v>
      </x:c>
      <x:c r="P82" s="23" t="n">
        <x:v>23990</x:v>
      </x:c>
      <x:c r="Q82" s="17" t="str">
        <x:v>$23,990 – $21,990 exterior 100%</x:v>
      </x:c>
      <x:c r="R82" s="22" t="str">
        <x:v>confirmado</x:v>
      </x:c>
      <x:c r="S82" s="22" t="str">
        <x:v>Sí</x:v>
      </x:c>
      <x:c r="T82" s="24"/>
      <x:c r="U82" s="17" t="str">
        <x:v>https://graph.microsoft.com/v1.0/me/drive/items/01DHXXN7YJMCJUVPBWNJEJPJIH7B4OTAUR#page=31</x:v>
      </x:c>
      <x:c r="V82" s="17" t="str">
        <x:v>https://graph.microsoft.com/v1.0/me/drive/items/01DHXXN7YJMCJUVPBWNJEJPJIH7B4OTAUR</x:v>
      </x:c>
      <x:c r="W82" s="17" t="str">
        <x:v>bfc1b6a1c44f1d73d0007232550e515cccdf79e79b13ff52ce30884ee9245a09</x:v>
      </x:c>
      <x:c r="X82" s="17" t="str">
        <x:v>SKU no publicado; se conserva una identidad técnica estable.</x:v>
      </x:c>
    </x:row>
    <x:row r="83" ht="34" customHeight="1">
      <x:c r="A83" s="17" t="str">
        <x:v>IDÉLIKA</x:v>
      </x:c>
      <x:c r="B83" s="17" t="str">
        <x:v>Fabricacion</x:v>
      </x:c>
      <x:c r="C83" s="17" t="str">
        <x:v>1 CATALOGO FABRICACION 2026B.pdf</x:v>
      </x:c>
      <x:c r="D83" s="21" t="n">
        <x:v>31</x:v>
      </x:c>
      <x:c r="E83" s="17" t="str">
        <x:v>idelika:fabricacion:sin-sku:02d06ead7b18d6e43fb4</x:v>
      </x:c>
      <x:c r="F83" s="17"/>
      <x:c r="G83" s="22" t="str">
        <x:v>por_verificar</x:v>
      </x:c>
      <x:c r="H83" s="17" t="str">
        <x:v>Chetumal banco</x:v>
      </x:c>
      <x:c r="I83" s="17" t="str">
        <x:v>Chetumal</x:v>
      </x:c>
      <x:c r="J83" s="17" t="str">
        <x:v>exterior techado</x:v>
      </x:c>
      <x:c r="K83" s="17" t="str">
        <x:v>Acero con pintura electroestática , cuerda de multifilamento y tela Acero galvanizado con pintura electroestática cuerda textilene y loneta de exterior</x:v>
      </x:c>
      <x:c r="L83" s="17" t="str">
        <x:v>55*55*109 alto</x:v>
      </x:c>
      <x:c r="M83" s="17" t="str">
        <x:v>55*55*109 alto Acero con pintura electroestática , cuerda de multifilamento y tela Acero galvanizado con pintura electroestática cuerda textilene y loneta de exterior</x:v>
      </x:c>
      <x:c r="N83" s="22" t="str">
        <x:v>pieza</x:v>
      </x:c>
      <x:c r="O83" s="23" t="n">
        <x:v>3999</x:v>
      </x:c>
      <x:c r="P83" s="23" t="n">
        <x:v>4499</x:v>
      </x:c>
      <x:c r="Q83" s="17" t="str">
        <x:v>$4,499 – $3,999 exterior techado</x:v>
      </x:c>
      <x:c r="R83" s="22" t="str">
        <x:v>confirmado</x:v>
      </x:c>
      <x:c r="S83" s="22" t="str">
        <x:v>Sí</x:v>
      </x:c>
      <x:c r="T83" s="24"/>
      <x:c r="U83" s="17" t="str">
        <x:v>https://graph.microsoft.com/v1.0/me/drive/items/01DHXXN7YJMCJUVPBWNJEJPJIH7B4OTAUR#page=31</x:v>
      </x:c>
      <x:c r="V83" s="17" t="str">
        <x:v>https://graph.microsoft.com/v1.0/me/drive/items/01DHXXN7YJMCJUVPBWNJEJPJIH7B4OTAUR</x:v>
      </x:c>
      <x:c r="W83" s="17" t="str">
        <x:v>02d06ead7b18d6e43fb47a3a47211b5e22b681e03385d461db57b4432f96c2d4</x:v>
      </x:c>
      <x:c r="X83" s="17" t="str">
        <x:v>SKU no publicado; se conserva una identidad técnica estable.</x:v>
      </x:c>
    </x:row>
    <x:row r="84" ht="34" customHeight="1">
      <x:c r="A84" s="17" t="str">
        <x:v>IDÉLIKA</x:v>
      </x:c>
      <x:c r="B84" s="17" t="str">
        <x:v>Fabricacion</x:v>
      </x:c>
      <x:c r="C84" s="17" t="str">
        <x:v>1 CATALOGO FABRICACION 2026B.pdf</x:v>
      </x:c>
      <x:c r="D84" s="21" t="n">
        <x:v>31</x:v>
      </x:c>
      <x:c r="E84" s="17" t="str">
        <x:v>idelika:fabricacion:sin-sku:d9edacbbeffcdef062de</x:v>
      </x:c>
      <x:c r="F84" s="17"/>
      <x:c r="G84" s="22" t="str">
        <x:v>por_verificar</x:v>
      </x:c>
      <x:c r="H84" s="17" t="str">
        <x:v>Chetumal banco</x:v>
      </x:c>
      <x:c r="I84" s="17" t="str">
        <x:v>Chetumal</x:v>
      </x:c>
      <x:c r="J84" s="17" t="str">
        <x:v>exterior 100%</x:v>
      </x:c>
      <x:c r="K84" s="17" t="str">
        <x:v>Acero con pintura electroestática , cuerda de multifilamento y tela Acero galvanizado con pintura electroestática cuerda textilene y loneta de exterior</x:v>
      </x:c>
      <x:c r="L84" s="17"/>
      <x:c r="M84" s="17" t="str">
        <x:v>55*55*109 alto Acero con pintura electroestática , cuerda de multifilamento y tela Acero galvanizado con pintura electroestática cuerda textilene y loneta de exterior</x:v>
      </x:c>
      <x:c r="N84" s="22" t="str">
        <x:v>pieza</x:v>
      </x:c>
      <x:c r="O84" s="23" t="n">
        <x:v>4799</x:v>
      </x:c>
      <x:c r="P84" s="23" t="n">
        <x:v>4999</x:v>
      </x:c>
      <x:c r="Q84" s="17" t="str">
        <x:v>$4,999 – $4,799 exterior 100%</x:v>
      </x:c>
      <x:c r="R84" s="22" t="str">
        <x:v>confirmado</x:v>
      </x:c>
      <x:c r="S84" s="22" t="str">
        <x:v>Sí</x:v>
      </x:c>
      <x:c r="T84" s="24"/>
      <x:c r="U84" s="17" t="str">
        <x:v>https://graph.microsoft.com/v1.0/me/drive/items/01DHXXN7YJMCJUVPBWNJEJPJIH7B4OTAUR#page=31</x:v>
      </x:c>
      <x:c r="V84" s="17" t="str">
        <x:v>https://graph.microsoft.com/v1.0/me/drive/items/01DHXXN7YJMCJUVPBWNJEJPJIH7B4OTAUR</x:v>
      </x:c>
      <x:c r="W84" s="17" t="str">
        <x:v>d9edacbbeffcdef062de57f6e31668e7a38a5c3ba28050938107ec232e9d5e03</x:v>
      </x:c>
      <x:c r="X84" s="17" t="str">
        <x:v>SKU no publicado; se conserva una identidad técnica estable.</x:v>
      </x:c>
    </x:row>
    <x:row r="85" ht="34" customHeight="1">
      <x:c r="A85" s="17" t="str">
        <x:v>IDÉLIKA</x:v>
      </x:c>
      <x:c r="B85" s="17" t="str">
        <x:v>Fabricacion</x:v>
      </x:c>
      <x:c r="C85" s="17" t="str">
        <x:v>1 CATALOGO FABRICACION 2026B.pdf</x:v>
      </x:c>
      <x:c r="D85" s="21" t="n">
        <x:v>31</x:v>
      </x:c>
      <x:c r="E85" s="17" t="str">
        <x:v>idelika:fabricacion:sin-sku:4a0952b0928e20f2b38d</x:v>
      </x:c>
      <x:c r="F85" s="17"/>
      <x:c r="G85" s="22" t="str">
        <x:v>por_verificar</x:v>
      </x:c>
      <x:c r="H85" s="17" t="str">
        <x:v>Chetumal silla</x:v>
      </x:c>
      <x:c r="I85" s="17" t="str">
        <x:v>Chetumal</x:v>
      </x:c>
      <x:c r="J85" s="17" t="str">
        <x:v>exterior techado</x:v>
      </x:c>
      <x:c r="K85" s="17" t="str">
        <x:v>Acero con pintura electroestática cuerda de multifilamento y tela Acero galvanizado, cuerda textilene y loneta de</x:v>
      </x:c>
      <x:c r="L85" s="17" t="str">
        <x:v>55*55*80 alto</x:v>
      </x:c>
      <x:c r="M85" s="17" t="str">
        <x:v>55*55*80 alto Acero con pintura electroestática cuerda de multifilamento y tela Acero galvanizado, cuerda textilene y loneta de exterior</x:v>
      </x:c>
      <x:c r="N85" s="22" t="str">
        <x:v>pieza</x:v>
      </x:c>
      <x:c r="O85" s="23" t="n">
        <x:v>3799</x:v>
      </x:c>
      <x:c r="P85" s="23" t="n">
        <x:v>3999</x:v>
      </x:c>
      <x:c r="Q85" s="17" t="str">
        <x:v>$3,999 – $3,799 exterior techado</x:v>
      </x:c>
      <x:c r="R85" s="22" t="str">
        <x:v>confirmado</x:v>
      </x:c>
      <x:c r="S85" s="22" t="str">
        <x:v>Sí</x:v>
      </x:c>
      <x:c r="T85" s="24"/>
      <x:c r="U85" s="17" t="str">
        <x:v>https://graph.microsoft.com/v1.0/me/drive/items/01DHXXN7YJMCJUVPBWNJEJPJIH7B4OTAUR#page=31</x:v>
      </x:c>
      <x:c r="V85" s="17" t="str">
        <x:v>https://graph.microsoft.com/v1.0/me/drive/items/01DHXXN7YJMCJUVPBWNJEJPJIH7B4OTAUR</x:v>
      </x:c>
      <x:c r="W85" s="17" t="str">
        <x:v>4a0952b0928e20f2b38d74c25e559a30ebe5fe40c195f27e43453a46de90f8c0</x:v>
      </x:c>
      <x:c r="X85" s="17" t="str">
        <x:v>SKU no publicado; se conserva una identidad técnica estable.</x:v>
      </x:c>
    </x:row>
    <x:row r="86" ht="34" customHeight="1">
      <x:c r="A86" s="17" t="str">
        <x:v>IDÉLIKA</x:v>
      </x:c>
      <x:c r="B86" s="17" t="str">
        <x:v>Fabricacion</x:v>
      </x:c>
      <x:c r="C86" s="17" t="str">
        <x:v>1 CATALOGO FABRICACION 2026B.pdf</x:v>
      </x:c>
      <x:c r="D86" s="21" t="n">
        <x:v>31</x:v>
      </x:c>
      <x:c r="E86" s="17" t="str">
        <x:v>idelika:fabricacion:sin-sku:9b598d2bca3ab552be9c</x:v>
      </x:c>
      <x:c r="F86" s="17"/>
      <x:c r="G86" s="22" t="str">
        <x:v>por_verificar</x:v>
      </x:c>
      <x:c r="H86" s="17" t="str">
        <x:v>Chetumal silla</x:v>
      </x:c>
      <x:c r="I86" s="17" t="str">
        <x:v>Chetumal</x:v>
      </x:c>
      <x:c r="J86" s="17" t="str">
        <x:v>exterior 100%</x:v>
      </x:c>
      <x:c r="K86" s="17" t="str">
        <x:v>Acero con pintura electroestática cuerda de multifilamento y tela Acero galvanizado, cuerda textilene y loneta de</x:v>
      </x:c>
      <x:c r="L86" s="17"/>
      <x:c r="M86" s="17" t="str">
        <x:v>55*55*80 alto Acero con pintura electroestática cuerda de multifilamento y tela Acero galvanizado, cuerda textilene y loneta de exterior</x:v>
      </x:c>
      <x:c r="N86" s="22" t="str">
        <x:v>pieza</x:v>
      </x:c>
      <x:c r="O86" s="23" t="n">
        <x:v>4799</x:v>
      </x:c>
      <x:c r="P86" s="23" t="n">
        <x:v>4990</x:v>
      </x:c>
      <x:c r="Q86" s="17" t="str">
        <x:v>$4,990 – $4,799 exterior 100%</x:v>
      </x:c>
      <x:c r="R86" s="22" t="str">
        <x:v>confirmado</x:v>
      </x:c>
      <x:c r="S86" s="22" t="str">
        <x:v>Sí</x:v>
      </x:c>
      <x:c r="T86" s="24"/>
      <x:c r="U86" s="17" t="str">
        <x:v>https://graph.microsoft.com/v1.0/me/drive/items/01DHXXN7YJMCJUVPBWNJEJPJIH7B4OTAUR#page=31</x:v>
      </x:c>
      <x:c r="V86" s="17" t="str">
        <x:v>https://graph.microsoft.com/v1.0/me/drive/items/01DHXXN7YJMCJUVPBWNJEJPJIH7B4OTAUR</x:v>
      </x:c>
      <x:c r="W86" s="17" t="str">
        <x:v>9b598d2bca3ab552be9c3e7365f3489c97e1357e1ed0b8aab9cd18326f5918c0</x:v>
      </x:c>
      <x:c r="X86" s="17" t="str">
        <x:v>SKU no publicado; se conserva una identidad técnica estable.</x:v>
      </x:c>
    </x:row>
    <x:row r="87" ht="34" customHeight="1">
      <x:c r="A87" s="17" t="str">
        <x:v>IDÉLIKA</x:v>
      </x:c>
      <x:c r="B87" s="17" t="str">
        <x:v>Fabricacion</x:v>
      </x:c>
      <x:c r="C87" s="17" t="str">
        <x:v>1 CATALOGO FABRICACION 2026B.pdf</x:v>
      </x:c>
      <x:c r="D87" s="21" t="n">
        <x:v>32</x:v>
      </x:c>
      <x:c r="E87" s="17" t="str">
        <x:v>idelika:fabricacion:sin-sku:7cf0d4c528f72ad5692d</x:v>
      </x:c>
      <x:c r="F87" s="17"/>
      <x:c r="G87" s="22" t="str">
        <x:v>por_verificar</x:v>
      </x:c>
      <x:c r="H87" s="17" t="str">
        <x:v>Majahuitas Banco</x:v>
      </x:c>
      <x:c r="I87" s="17" t="str">
        <x:v>Majahuitas</x:v>
      </x:c>
      <x:c r="J87" s="17"/>
      <x:c r="K87" s="17" t="str">
        <x:v>Parota y cuerda</x:v>
      </x:c>
      <x:c r="L87" s="17" t="str">
        <x:v>55*58*91</x:v>
      </x:c>
      <x:c r="M87" s="17" t="str">
        <x:v>Parota y cuerda 55*58*91 Cojín curri incluido</x:v>
      </x:c>
      <x:c r="N87" s="22" t="str">
        <x:v>pieza</x:v>
      </x:c>
      <x:c r="O87" s="23" t="n">
        <x:v>8990</x:v>
      </x:c>
      <x:c r="P87" s="23" t="n">
        <x:v>9699</x:v>
      </x:c>
      <x:c r="Q87" s="17" t="str">
        <x:v>$9,699 – $8,990</x:v>
      </x:c>
      <x:c r="R87" s="22" t="str">
        <x:v>confirmado</x:v>
      </x:c>
      <x:c r="S87" s="22" t="str">
        <x:v>Sí</x:v>
      </x:c>
      <x:c r="T87" s="24"/>
      <x:c r="U87" s="17" t="str">
        <x:v>https://graph.microsoft.com/v1.0/me/drive/items/01DHXXN7YJMCJUVPBWNJEJPJIH7B4OTAUR#page=32</x:v>
      </x:c>
      <x:c r="V87" s="17" t="str">
        <x:v>https://graph.microsoft.com/v1.0/me/drive/items/01DHXXN7YJMCJUVPBWNJEJPJIH7B4OTAUR</x:v>
      </x:c>
      <x:c r="W87" s="17" t="str">
        <x:v>7cf0d4c528f72ad5692de760af1a58fe0cfd53dd9c139e6e753649ffe044cd9a</x:v>
      </x:c>
      <x:c r="X87" s="17" t="str">
        <x:v>SKU no publicado; se conserva una identidad técnica estable.</x:v>
      </x:c>
    </x:row>
    <x:row r="88" ht="34" customHeight="1">
      <x:c r="A88" s="17" t="str">
        <x:v>IDÉLIKA</x:v>
      </x:c>
      <x:c r="B88" s="17" t="str">
        <x:v>Fabricacion</x:v>
      </x:c>
      <x:c r="C88" s="17" t="str">
        <x:v>1 CATALOGO FABRICACION 2026B.pdf</x:v>
      </x:c>
      <x:c r="D88" s="21" t="n">
        <x:v>32</x:v>
      </x:c>
      <x:c r="E88" s="17" t="str">
        <x:v>idelika:fabricacion:sin-sku:6b2c32a5b72eef9ead4b</x:v>
      </x:c>
      <x:c r="F88" s="17"/>
      <x:c r="G88" s="22" t="str">
        <x:v>por_verificar</x:v>
      </x:c>
      <x:c r="H88" s="17" t="str">
        <x:v>Mesa Majahuitas</x:v>
      </x:c>
      <x:c r="I88" s="17" t="str">
        <x:v>Majahuitas</x:v>
      </x:c>
      <x:c r="J88" s="17"/>
      <x:c r="K88" s="17" t="str">
        <x:v>Parota y acero</x:v>
      </x:c>
      <x:c r="L88" s="17"/>
      <x:c r="M88" s="17" t="str">
        <x:v>Parota y acero Cualquier medida medida especial largo 2.00 a 2.20</x:v>
      </x:c>
      <x:c r="N88" s="22" t="str">
        <x:v>pieza</x:v>
      </x:c>
      <x:c r="O88" s="23" t="n">
        <x:v>31990</x:v>
      </x:c>
      <x:c r="P88" s="23" t="n">
        <x:v>37699</x:v>
      </x:c>
      <x:c r="Q88" s="17" t="str">
        <x:v>$37,699 – $31,990</x:v>
      </x:c>
      <x:c r="R88" s="22" t="str">
        <x:v>confirmado</x:v>
      </x:c>
      <x:c r="S88" s="22" t="str">
        <x:v>Sí</x:v>
      </x:c>
      <x:c r="T88" s="24"/>
      <x:c r="U88" s="17" t="str">
        <x:v>https://graph.microsoft.com/v1.0/me/drive/items/01DHXXN7YJMCJUVPBWNJEJPJIH7B4OTAUR#page=32</x:v>
      </x:c>
      <x:c r="V88" s="17" t="str">
        <x:v>https://graph.microsoft.com/v1.0/me/drive/items/01DHXXN7YJMCJUVPBWNJEJPJIH7B4OTAUR</x:v>
      </x:c>
      <x:c r="W88" s="17" t="str">
        <x:v>6b2c32a5b72eef9ead4b5f773cc2b40a5cfffa266c3f4a56de412682d0b61557</x:v>
      </x:c>
      <x:c r="X88" s="17" t="str">
        <x:v>SKU no publicado; se conserva una identidad técnica estable.</x:v>
      </x:c>
    </x:row>
    <x:row r="89" ht="34" customHeight="1">
      <x:c r="A89" s="17" t="str">
        <x:v>IDÉLIKA</x:v>
      </x:c>
      <x:c r="B89" s="17" t="str">
        <x:v>Fabricacion</x:v>
      </x:c>
      <x:c r="C89" s="17" t="str">
        <x:v>1 CATALOGO FABRICACION 2026B.pdf</x:v>
      </x:c>
      <x:c r="D89" s="21" t="n">
        <x:v>32</x:v>
      </x:c>
      <x:c r="E89" s="17" t="str">
        <x:v>idelika:fabricacion:sin-sku:b9a8dacac2469e67323a</x:v>
      </x:c>
      <x:c r="F89" s="17"/>
      <x:c r="G89" s="22" t="str">
        <x:v>por_verificar</x:v>
      </x:c>
      <x:c r="H89" s="17" t="str">
        <x:v>Majahuitas Sillón</x:v>
      </x:c>
      <x:c r="I89" s="17" t="str">
        <x:v>Majahuitas</x:v>
      </x:c>
      <x:c r="J89" s="17"/>
      <x:c r="K89" s="17" t="str">
        <x:v>Parota y cuerda</x:v>
      </x:c>
      <x:c r="L89" s="17" t="str">
        <x:v>66*58*70</x:v>
      </x:c>
      <x:c r="M89" s="17" t="str">
        <x:v>Parota y cuerda 66*58*70 Cojín curri incluido Majahuitas</x:v>
      </x:c>
      <x:c r="N89" s="22" t="str">
        <x:v>pieza</x:v>
      </x:c>
      <x:c r="O89" s="23" t="n">
        <x:v>7990</x:v>
      </x:c>
      <x:c r="P89" s="23" t="n">
        <x:v>9990</x:v>
      </x:c>
      <x:c r="Q89" s="17" t="str">
        <x:v>$9,990 – $7,990</x:v>
      </x:c>
      <x:c r="R89" s="22" t="str">
        <x:v>confirmado</x:v>
      </x:c>
      <x:c r="S89" s="22" t="str">
        <x:v>Sí</x:v>
      </x:c>
      <x:c r="T89" s="24"/>
      <x:c r="U89" s="17" t="str">
        <x:v>https://graph.microsoft.com/v1.0/me/drive/items/01DHXXN7YJMCJUVPBWNJEJPJIH7B4OTAUR#page=32</x:v>
      </x:c>
      <x:c r="V89" s="17" t="str">
        <x:v>https://graph.microsoft.com/v1.0/me/drive/items/01DHXXN7YJMCJUVPBWNJEJPJIH7B4OTAUR</x:v>
      </x:c>
      <x:c r="W89" s="17" t="str">
        <x:v>b9a8dacac2469e67323a96ca059354fa25820e94f2fde1d42317f535a54eeedf</x:v>
      </x:c>
      <x:c r="X89" s="17" t="str">
        <x:v>SKU no publicado; se conserva una identidad técnica estable.</x:v>
      </x:c>
    </x:row>
    <x:row r="90" ht="34" customHeight="1">
      <x:c r="A90" s="17" t="str">
        <x:v>IDÉLIKA</x:v>
      </x:c>
      <x:c r="B90" s="17" t="str">
        <x:v>Fabricacion</x:v>
      </x:c>
      <x:c r="C90" s="17" t="str">
        <x:v>1 CATALOGO FABRICACION 2026B.pdf</x:v>
      </x:c>
      <x:c r="D90" s="21" t="n">
        <x:v>33</x:v>
      </x:c>
      <x:c r="E90" s="17" t="str">
        <x:v>idelika:fabricacion:sin-sku:e69b1cd25b7ad557f030</x:v>
      </x:c>
      <x:c r="F90" s="17"/>
      <x:c r="G90" s="22" t="str">
        <x:v>por_verificar</x:v>
      </x:c>
      <x:c r="H90" s="17" t="str">
        <x:v>Majahuitas set</x:v>
      </x:c>
      <x:c r="I90" s="17" t="str">
        <x:v>Majahuitas</x:v>
      </x:c>
      <x:c r="J90" s="17"/>
      <x:c r="K90" s="17" t="str">
        <x:v>Parota y cuerda</x:v>
      </x:c>
      <x:c r="L90" s="17" t="str">
        <x:v>66*58*70 sillón</x:v>
      </x:c>
      <x:c r="M90" s="17" t="str">
        <x:v>Parota y cuerda 66*58*70 sillón 66*170*70 love 66*200*70 sofá 100*60*32 mesa Cojín curri incluido Majahuitas</x:v>
      </x:c>
      <x:c r="N90" s="22" t="str">
        <x:v>pieza</x:v>
      </x:c>
      <x:c r="O90" s="23" t="n">
        <x:v>7990</x:v>
      </x:c>
      <x:c r="P90" s="23" t="n">
        <x:v>9990</x:v>
      </x:c>
      <x:c r="Q90" s="17" t="str">
        <x:v>$9,990 – $7,990</x:v>
      </x:c>
      <x:c r="R90" s="22" t="str">
        <x:v>confirmado</x:v>
      </x:c>
      <x:c r="S90" s="22" t="str">
        <x:v>Sí</x:v>
      </x:c>
      <x:c r="T90" s="24"/>
      <x:c r="U90" s="17" t="str">
        <x:v>https://graph.microsoft.com/v1.0/me/drive/items/01DHXXN7YJMCJUVPBWNJEJPJIH7B4OTAUR#page=33</x:v>
      </x:c>
      <x:c r="V90" s="17" t="str">
        <x:v>https://graph.microsoft.com/v1.0/me/drive/items/01DHXXN7YJMCJUVPBWNJEJPJIH7B4OTAUR</x:v>
      </x:c>
      <x:c r="W90" s="17" t="str">
        <x:v>e69b1cd25b7ad557f0300e223ef09db91e02bd3caf776e4fd6b53eea34529825</x:v>
      </x:c>
      <x:c r="X90" s="17" t="str">
        <x:v>SKU no publicado; se conserva una identidad técnica estable.</x:v>
      </x:c>
    </x:row>
    <x:row r="91" ht="34" customHeight="1">
      <x:c r="A91" s="17" t="str">
        <x:v>IDÉLIKA</x:v>
      </x:c>
      <x:c r="B91" s="17" t="str">
        <x:v>Fabricacion</x:v>
      </x:c>
      <x:c r="C91" s="17" t="str">
        <x:v>1 CATALOGO FABRICACION 2026B.pdf</x:v>
      </x:c>
      <x:c r="D91" s="21" t="n">
        <x:v>33</x:v>
      </x:c>
      <x:c r="E91" s="17" t="str">
        <x:v>idelika:fabricacion:sin-sku:8deac878cdc6e6650c11</x:v>
      </x:c>
      <x:c r="F91" s="17"/>
      <x:c r="G91" s="22" t="str">
        <x:v>por_verificar</x:v>
      </x:c>
      <x:c r="H91" s="17" t="str">
        <x:v>Majahuitas set</x:v>
      </x:c>
      <x:c r="I91" s="17" t="str">
        <x:v>Majahuitas</x:v>
      </x:c>
      <x:c r="J91" s="17"/>
      <x:c r="K91" s="17" t="str">
        <x:v>Parota y cuerda</x:v>
      </x:c>
      <x:c r="L91" s="17" t="str">
        <x:v>66*170*70 love</x:v>
      </x:c>
      <x:c r="M91" s="17" t="str">
        <x:v>Parota y cuerda 66*58*70 sillón 66*170*70 love 66*200*70 sofá 100*60*32 mesa Cojín curri incluido Majahuitas</x:v>
      </x:c>
      <x:c r="N91" s="22" t="str">
        <x:v>pieza</x:v>
      </x:c>
      <x:c r="O91" s="23" t="n">
        <x:v>28990</x:v>
      </x:c>
      <x:c r="P91" s="23" t="n">
        <x:v>31990</x:v>
      </x:c>
      <x:c r="Q91" s="17" t="str">
        <x:v>$31,990 – $28,990</x:v>
      </x:c>
      <x:c r="R91" s="22" t="str">
        <x:v>confirmado</x:v>
      </x:c>
      <x:c r="S91" s="22" t="str">
        <x:v>Sí</x:v>
      </x:c>
      <x:c r="T91" s="24"/>
      <x:c r="U91" s="17" t="str">
        <x:v>https://graph.microsoft.com/v1.0/me/drive/items/01DHXXN7YJMCJUVPBWNJEJPJIH7B4OTAUR#page=33</x:v>
      </x:c>
      <x:c r="V91" s="17" t="str">
        <x:v>https://graph.microsoft.com/v1.0/me/drive/items/01DHXXN7YJMCJUVPBWNJEJPJIH7B4OTAUR</x:v>
      </x:c>
      <x:c r="W91" s="17" t="str">
        <x:v>8deac878cdc6e6650c11d0a37cd43e388a8778e53aa91b533ec70b0dd23af018</x:v>
      </x:c>
      <x:c r="X91" s="17" t="str">
        <x:v>SKU no publicado; se conserva una identidad técnica estable.</x:v>
      </x:c>
    </x:row>
    <x:row r="92" ht="34" customHeight="1">
      <x:c r="A92" s="17" t="str">
        <x:v>IDÉLIKA</x:v>
      </x:c>
      <x:c r="B92" s="17" t="str">
        <x:v>Fabricacion</x:v>
      </x:c>
      <x:c r="C92" s="17" t="str">
        <x:v>1 CATALOGO FABRICACION 2026B.pdf</x:v>
      </x:c>
      <x:c r="D92" s="21" t="n">
        <x:v>33</x:v>
      </x:c>
      <x:c r="E92" s="17" t="str">
        <x:v>idelika:fabricacion:sin-sku:9afb4ee8888a15278879</x:v>
      </x:c>
      <x:c r="F92" s="17"/>
      <x:c r="G92" s="22" t="str">
        <x:v>por_verificar</x:v>
      </x:c>
      <x:c r="H92" s="17" t="str">
        <x:v>Majahuitas set</x:v>
      </x:c>
      <x:c r="I92" s="17" t="str">
        <x:v>Majahuitas</x:v>
      </x:c>
      <x:c r="J92" s="17"/>
      <x:c r="K92" s="17" t="str">
        <x:v>Parota y cuerda</x:v>
      </x:c>
      <x:c r="L92" s="17" t="str">
        <x:v>66*200*70 sofá</x:v>
      </x:c>
      <x:c r="M92" s="17" t="str">
        <x:v>Parota y cuerda 66*58*70 sillón 66*170*70 love 66*200*70 sofá 100*60*32 mesa Cojín curri incluido Majahuitas</x:v>
      </x:c>
      <x:c r="N92" s="22" t="str">
        <x:v>pieza</x:v>
      </x:c>
      <x:c r="O92" s="23" t="n">
        <x:v>34990</x:v>
      </x:c>
      <x:c r="P92" s="23" t="n">
        <x:v>39990</x:v>
      </x:c>
      <x:c r="Q92" s="17" t="str">
        <x:v>$39,990 – $34,990</x:v>
      </x:c>
      <x:c r="R92" s="22" t="str">
        <x:v>confirmado</x:v>
      </x:c>
      <x:c r="S92" s="22" t="str">
        <x:v>Sí</x:v>
      </x:c>
      <x:c r="T92" s="24"/>
      <x:c r="U92" s="17" t="str">
        <x:v>https://graph.microsoft.com/v1.0/me/drive/items/01DHXXN7YJMCJUVPBWNJEJPJIH7B4OTAUR#page=33</x:v>
      </x:c>
      <x:c r="V92" s="17" t="str">
        <x:v>https://graph.microsoft.com/v1.0/me/drive/items/01DHXXN7YJMCJUVPBWNJEJPJIH7B4OTAUR</x:v>
      </x:c>
      <x:c r="W92" s="17" t="str">
        <x:v>9afb4ee8888a152788790990cad20506699e46c31b980c517ae55eef030cc406</x:v>
      </x:c>
      <x:c r="X92" s="17" t="str">
        <x:v>SKU no publicado; se conserva una identidad técnica estable.</x:v>
      </x:c>
    </x:row>
    <x:row r="93" ht="34" customHeight="1">
      <x:c r="A93" s="17" t="str">
        <x:v>IDÉLIKA</x:v>
      </x:c>
      <x:c r="B93" s="17" t="str">
        <x:v>Fabricacion</x:v>
      </x:c>
      <x:c r="C93" s="17" t="str">
        <x:v>1 CATALOGO FABRICACION 2026B.pdf</x:v>
      </x:c>
      <x:c r="D93" s="21" t="n">
        <x:v>33</x:v>
      </x:c>
      <x:c r="E93" s="17" t="str">
        <x:v>idelika:fabricacion:sin-sku:0dafb3e4a9524e619acf</x:v>
      </x:c>
      <x:c r="F93" s="17"/>
      <x:c r="G93" s="22" t="str">
        <x:v>por_verificar</x:v>
      </x:c>
      <x:c r="H93" s="17" t="str">
        <x:v>Majahuitas set</x:v>
      </x:c>
      <x:c r="I93" s="17" t="str">
        <x:v>Majahuitas</x:v>
      </x:c>
      <x:c r="J93" s="17"/>
      <x:c r="K93" s="17" t="str">
        <x:v>Parota y cuerda</x:v>
      </x:c>
      <x:c r="L93" s="17" t="str">
        <x:v>100*60*32 mesa</x:v>
      </x:c>
      <x:c r="M93" s="17" t="str">
        <x:v>Parota y cuerda 66*58*70 sillón 66*170*70 love 66*200*70 sofá 100*60*32 mesa Cojín curri incluido Majahuitas</x:v>
      </x:c>
      <x:c r="N93" s="22" t="str">
        <x:v>pieza</x:v>
      </x:c>
      <x:c r="O93" s="23" t="n">
        <x:v>9990</x:v>
      </x:c>
      <x:c r="P93" s="23" t="n">
        <x:v>11990</x:v>
      </x:c>
      <x:c r="Q93" s="17" t="str">
        <x:v>$11,990 – $9,990</x:v>
      </x:c>
      <x:c r="R93" s="22" t="str">
        <x:v>confirmado</x:v>
      </x:c>
      <x:c r="S93" s="22" t="str">
        <x:v>Sí</x:v>
      </x:c>
      <x:c r="T93" s="24"/>
      <x:c r="U93" s="17" t="str">
        <x:v>https://graph.microsoft.com/v1.0/me/drive/items/01DHXXN7YJMCJUVPBWNJEJPJIH7B4OTAUR#page=33</x:v>
      </x:c>
      <x:c r="V93" s="17" t="str">
        <x:v>https://graph.microsoft.com/v1.0/me/drive/items/01DHXXN7YJMCJUVPBWNJEJPJIH7B4OTAUR</x:v>
      </x:c>
      <x:c r="W93" s="17" t="str">
        <x:v>0dafb3e4a9524e619acfbad10fed6da4322f8f5a4af07849e2e9549e2fe27a27</x:v>
      </x:c>
      <x:c r="X93" s="17" t="str">
        <x:v>SKU no publicado; se conserva una identidad técnica estable.</x:v>
      </x:c>
    </x:row>
    <x:row r="94" ht="34" customHeight="1">
      <x:c r="A94" s="17" t="str">
        <x:v>IDÉLIKA</x:v>
      </x:c>
      <x:c r="B94" s="17" t="str">
        <x:v>Fabricacion</x:v>
      </x:c>
      <x:c r="C94" s="17" t="str">
        <x:v>1 CATALOGO FABRICACION 2026B.pdf</x:v>
      </x:c>
      <x:c r="D94" s="21" t="n">
        <x:v>34</x:v>
      </x:c>
      <x:c r="E94" s="17" t="str">
        <x:v>idelika:fabricacion:sin-sku:43d9987eabd2ddb79343</x:v>
      </x:c>
      <x:c r="F94" s="17"/>
      <x:c r="G94" s="22" t="str">
        <x:v>por_verificar</x:v>
      </x:c>
      <x:c r="H94" s="17" t="str">
        <x:v>Majahuitas camastro</x:v>
      </x:c>
      <x:c r="I94" s="17" t="str">
        <x:v>Majahuitas</x:v>
      </x:c>
      <x:c r="J94" s="17"/>
      <x:c r="K94" s="17" t="str">
        <x:v>Parota y cuerda Parota natural</x:v>
      </x:c>
      <x:c r="L94" s="17" t="str">
        <x:v>175*77*70</x:v>
      </x:c>
      <x:c r="M94" s="17" t="str">
        <x:v>Parota y cuerda 175*77*70 Majahuitas Holbox Cuadrado Ó Ovalado Parota natural Formas orgánicas Irregulares Medida aproximada 50*45</x:v>
      </x:c>
      <x:c r="N94" s="22" t="str">
        <x:v>pieza</x:v>
      </x:c>
      <x:c r="O94" s="23" t="n">
        <x:v>19990</x:v>
      </x:c>
      <x:c r="P94" s="23" t="n">
        <x:v>21990</x:v>
      </x:c>
      <x:c r="Q94" s="17" t="str">
        <x:v>$21,990 – $19,990</x:v>
      </x:c>
      <x:c r="R94" s="22" t="str">
        <x:v>confirmado</x:v>
      </x:c>
      <x:c r="S94" s="22" t="str">
        <x:v>Sí</x:v>
      </x:c>
      <x:c r="T94" s="24"/>
      <x:c r="U94" s="17" t="str">
        <x:v>https://graph.microsoft.com/v1.0/me/drive/items/01DHXXN7YJMCJUVPBWNJEJPJIH7B4OTAUR#page=34</x:v>
      </x:c>
      <x:c r="V94" s="17" t="str">
        <x:v>https://graph.microsoft.com/v1.0/me/drive/items/01DHXXN7YJMCJUVPBWNJEJPJIH7B4OTAUR</x:v>
      </x:c>
      <x:c r="W94" s="17" t="str">
        <x:v>43d9987eabd2ddb79343d37818189b03f925c39a5b93cfe9143cee07587b3484</x:v>
      </x:c>
      <x:c r="X94" s="17" t="str">
        <x:v>SKU no publicado; se conserva una identidad técnica estable.</x:v>
      </x:c>
    </x:row>
    <x:row r="95" ht="34" customHeight="1">
      <x:c r="A95" s="17" t="str">
        <x:v>IDÉLIKA</x:v>
      </x:c>
      <x:c r="B95" s="17" t="str">
        <x:v>Fabricacion</x:v>
      </x:c>
      <x:c r="C95" s="17" t="str">
        <x:v>1 CATALOGO FABRICACION 2026B.pdf</x:v>
      </x:c>
      <x:c r="D95" s="21" t="n">
        <x:v>34</x:v>
      </x:c>
      <x:c r="E95" s="17" t="str">
        <x:v>idelika:fabricacion:sin-sku:51fed510584dee0ab9d9</x:v>
      </x:c>
      <x:c r="F95" s="17"/>
      <x:c r="G95" s="22" t="str">
        <x:v>por_verificar</x:v>
      </x:c>
      <x:c r="H95" s="17" t="str">
        <x:v>Majahuitas camastro</x:v>
      </x:c>
      <x:c r="I95" s="17" t="str">
        <x:v>Majahuitas</x:v>
      </x:c>
      <x:c r="J95" s="17"/>
      <x:c r="K95" s="17" t="str">
        <x:v>Parota y cuerda Parota natural</x:v>
      </x:c>
      <x:c r="L95" s="17" t="str">
        <x:v>50*45</x:v>
      </x:c>
      <x:c r="M95" s="17" t="str">
        <x:v>Parota y cuerda 175*77*70 Majahuitas Holbox Cuadrado Ó Ovalado Parota natural Formas orgánicas Irregulares Medida aproximada 50*45</x:v>
      </x:c>
      <x:c r="N95" s="22" t="str">
        <x:v>pieza</x:v>
      </x:c>
      <x:c r="O95" s="23" t="n">
        <x:v>2999</x:v>
      </x:c>
      <x:c r="P95" s="23" t="n">
        <x:v>3999</x:v>
      </x:c>
      <x:c r="Q95" s="17" t="str">
        <x:v>$3,999 – $2,999</x:v>
      </x:c>
      <x:c r="R95" s="22" t="str">
        <x:v>confirmado</x:v>
      </x:c>
      <x:c r="S95" s="22" t="str">
        <x:v>Sí</x:v>
      </x:c>
      <x:c r="T95" s="24"/>
      <x:c r="U95" s="17" t="str">
        <x:v>https://graph.microsoft.com/v1.0/me/drive/items/01DHXXN7YJMCJUVPBWNJEJPJIH7B4OTAUR#page=34</x:v>
      </x:c>
      <x:c r="V95" s="17" t="str">
        <x:v>https://graph.microsoft.com/v1.0/me/drive/items/01DHXXN7YJMCJUVPBWNJEJPJIH7B4OTAUR</x:v>
      </x:c>
      <x:c r="W95" s="17" t="str">
        <x:v>51fed510584dee0ab9d966a3d6408b0b27ece645890aec668e7f374188975325</x:v>
      </x:c>
      <x:c r="X95" s="17" t="str">
        <x:v>SKU no publicado; se conserva una identidad técnica estable.</x:v>
      </x:c>
    </x:row>
    <x:row r="96" ht="34" customHeight="1">
      <x:c r="A96" s="17" t="str">
        <x:v>IDÉLIKA</x:v>
      </x:c>
      <x:c r="B96" s="17" t="str">
        <x:v>Fabricacion</x:v>
      </x:c>
      <x:c r="C96" s="17" t="str">
        <x:v>1 CATALOGO FABRICACION 2026B.pdf</x:v>
      </x:c>
      <x:c r="D96" s="21" t="n">
        <x:v>35</x:v>
      </x:c>
      <x:c r="E96" s="17" t="str">
        <x:v>idelika:fabricacion:sin-sku:ce2a8f41c22425818f4b</x:v>
      </x:c>
      <x:c r="F96" s="17"/>
      <x:c r="G96" s="22" t="str">
        <x:v>por_verificar</x:v>
      </x:c>
      <x:c r="H96" s="17" t="str">
        <x:v>Acatic mesa centro</x:v>
      </x:c>
      <x:c r="I96" s="17"/>
      <x:c r="J96" s="17"/>
      <x:c r="K96" s="17" t="str">
        <x:v>Acero con pintura electroestática Cuerda de multifilamento de Polipropileno y cubierta de Madera de teca</x:v>
      </x:c>
      <x:c r="L96" s="17" t="str">
        <x:v>60 diámetro</x:v>
      </x:c>
      <x:c r="M96" s="17" t="str">
        <x:v>Acero con pintura electroestática Cuerda de multifilamento de Polipropileno y cubierta de Madera de teca 60 diámetro Bonsai</x:v>
      </x:c>
      <x:c r="N96" s="22" t="str">
        <x:v>pieza</x:v>
      </x:c>
      <x:c r="O96" s="23" t="n">
        <x:v>5990</x:v>
      </x:c>
      <x:c r="P96" s="23" t="n">
        <x:v>6990</x:v>
      </x:c>
      <x:c r="Q96" s="17" t="str">
        <x:v>$6,990 – $5,990</x:v>
      </x:c>
      <x:c r="R96" s="22" t="str">
        <x:v>confirmado</x:v>
      </x:c>
      <x:c r="S96" s="22" t="str">
        <x:v>Sí</x:v>
      </x:c>
      <x:c r="T96" s="24"/>
      <x:c r="U96" s="17" t="str">
        <x:v>https://graph.microsoft.com/v1.0/me/drive/items/01DHXXN7YJMCJUVPBWNJEJPJIH7B4OTAUR#page=35</x:v>
      </x:c>
      <x:c r="V96" s="17" t="str">
        <x:v>https://graph.microsoft.com/v1.0/me/drive/items/01DHXXN7YJMCJUVPBWNJEJPJIH7B4OTAUR</x:v>
      </x:c>
      <x:c r="W96" s="17" t="str">
        <x:v>ce2a8f41c22425818f4b8cd6ff1f363e63d24ee55d1b30ee040a301534ddf5aa</x:v>
      </x:c>
      <x:c r="X96" s="17" t="str">
        <x:v>SKU no publicado; se conserva una identidad técnica estable.</x:v>
      </x:c>
    </x:row>
    <x:row r="97" ht="34" customHeight="1">
      <x:c r="A97" s="17" t="str">
        <x:v>IDÉLIKA</x:v>
      </x:c>
      <x:c r="B97" s="17" t="str">
        <x:v>Fabricacion</x:v>
      </x:c>
      <x:c r="C97" s="17" t="str">
        <x:v>1 CATALOGO FABRICACION 2026B.pdf</x:v>
      </x:c>
      <x:c r="D97" s="21" t="n">
        <x:v>35</x:v>
      </x:c>
      <x:c r="E97" s="17" t="str">
        <x:v>idelika:fabricacion:sin-sku:f3e137412fe0c0942118</x:v>
      </x:c>
      <x:c r="F97" s="17"/>
      <x:c r="G97" s="22" t="str">
        <x:v>por_verificar</x:v>
      </x:c>
      <x:c r="H97" s="17" t="str">
        <x:v>sillón &amp; ottoman</x:v>
      </x:c>
      <x:c r="I97" s="17"/>
      <x:c r="J97" s="17"/>
      <x:c r="K97" s="17" t="str">
        <x:v>Madera de teca</x:v>
      </x:c>
      <x:c r="L97" s="17" t="str">
        <x:v>72*60*83 alto</x:v>
      </x:c>
      <x:c r="M97" s="17" t="str">
        <x:v>Madera de teca 72*60*83 alto + ottoman</x:v>
      </x:c>
      <x:c r="N97" s="22" t="str">
        <x:v>pieza</x:v>
      </x:c>
      <x:c r="O97" s="23" t="n">
        <x:v>14990</x:v>
      </x:c>
      <x:c r="P97" s="23" t="n">
        <x:v>16990</x:v>
      </x:c>
      <x:c r="Q97" s="17" t="str">
        <x:v>$16,990 – $14,990</x:v>
      </x:c>
      <x:c r="R97" s="22" t="str">
        <x:v>confirmado</x:v>
      </x:c>
      <x:c r="S97" s="22" t="str">
        <x:v>Sí</x:v>
      </x:c>
      <x:c r="T97" s="24"/>
      <x:c r="U97" s="17" t="str">
        <x:v>https://graph.microsoft.com/v1.0/me/drive/items/01DHXXN7YJMCJUVPBWNJEJPJIH7B4OTAUR#page=35</x:v>
      </x:c>
      <x:c r="V97" s="17" t="str">
        <x:v>https://graph.microsoft.com/v1.0/me/drive/items/01DHXXN7YJMCJUVPBWNJEJPJIH7B4OTAUR</x:v>
      </x:c>
      <x:c r="W97" s="17" t="str">
        <x:v>f3e137412fe0c09421185a1237eb2971dcf31accfb1f4d99c156f26b60c86437</x:v>
      </x:c>
      <x:c r="X97" s="17" t="str">
        <x:v>SKU no publicado; se conserva una identidad técnica estable.</x:v>
      </x:c>
    </x:row>
    <x:row r="98" ht="34" customHeight="1">
      <x:c r="A98" s="17" t="str">
        <x:v>IDÉLIKA</x:v>
      </x:c>
      <x:c r="B98" s="17" t="str">
        <x:v>Fabricacion</x:v>
      </x:c>
      <x:c r="C98" s="17" t="str">
        <x:v>1 CATALOGO FABRICACION 2026B.pdf</x:v>
      </x:c>
      <x:c r="D98" s="21" t="n">
        <x:v>36</x:v>
      </x:c>
      <x:c r="E98" s="17" t="str">
        <x:v>idelika:fabricacion:sin-sku:ce5905e662a28846dd6e</x:v>
      </x:c>
      <x:c r="F98" s="17"/>
      <x:c r="G98" s="22" t="str">
        <x:v>por_verificar</x:v>
      </x:c>
      <x:c r="H98" s="17" t="str">
        <x:v>Mazunte banco</x:v>
      </x:c>
      <x:c r="I98" s="17" t="str">
        <x:v>Mazunte</x:v>
      </x:c>
      <x:c r="J98" s="17"/>
      <x:c r="K98" s="17" t="str">
        <x:v>Madera de parota</x:v>
      </x:c>
      <x:c r="L98" s="17" t="str">
        <x:v>60*64*100/90</x:v>
      </x:c>
      <x:c r="M98" s="17" t="str">
        <x:v>Madera de parota Uso exterior techado 60*64*100/90</x:v>
      </x:c>
      <x:c r="N98" s="22" t="str">
        <x:v>pieza</x:v>
      </x:c>
      <x:c r="O98" s="23" t="n">
        <x:v>5990</x:v>
      </x:c>
      <x:c r="P98" s="23" t="n">
        <x:v>6499</x:v>
      </x:c>
      <x:c r="Q98" s="17" t="str">
        <x:v>$6,499 – $5,990</x:v>
      </x:c>
      <x:c r="R98" s="22" t="str">
        <x:v>confirmado</x:v>
      </x:c>
      <x:c r="S98" s="22" t="str">
        <x:v>Sí</x:v>
      </x:c>
      <x:c r="T98" s="24"/>
      <x:c r="U98" s="17" t="str">
        <x:v>https://graph.microsoft.com/v1.0/me/drive/items/01DHXXN7YJMCJUVPBWNJEJPJIH7B4OTAUR#page=36</x:v>
      </x:c>
      <x:c r="V98" s="17" t="str">
        <x:v>https://graph.microsoft.com/v1.0/me/drive/items/01DHXXN7YJMCJUVPBWNJEJPJIH7B4OTAUR</x:v>
      </x:c>
      <x:c r="W98" s="17" t="str">
        <x:v>ce5905e662a28846dd6e96fb24316d53f3ebee16aa6e54de00fe6e2248b2b8ab</x:v>
      </x:c>
      <x:c r="X98" s="17" t="str">
        <x:v>SKU no publicado; se conserva una identidad técnica estable.</x:v>
      </x:c>
    </x:row>
    <x:row r="99" ht="34" customHeight="1">
      <x:c r="A99" s="17" t="str">
        <x:v>IDÉLIKA</x:v>
      </x:c>
      <x:c r="B99" s="17" t="str">
        <x:v>Fabricacion</x:v>
      </x:c>
      <x:c r="C99" s="17" t="str">
        <x:v>1 CATALOGO FABRICACION 2026B.pdf</x:v>
      </x:c>
      <x:c r="D99" s="21" t="n">
        <x:v>36</x:v>
      </x:c>
      <x:c r="E99" s="17" t="str">
        <x:v>idelika:fabricacion:sin-sku:dc76dc97a8557da9e0a2</x:v>
      </x:c>
      <x:c r="F99" s="17"/>
      <x:c r="G99" s="22" t="str">
        <x:v>por_verificar</x:v>
      </x:c>
      <x:c r="H99" s="17" t="str">
        <x:v>Mazunte silla</x:v>
      </x:c>
      <x:c r="I99" s="17" t="str">
        <x:v>Mazunte</x:v>
      </x:c>
      <x:c r="J99" s="17"/>
      <x:c r="K99" s="17" t="str">
        <x:v>Madera de parota Y cuerda de multifilamento</x:v>
      </x:c>
      <x:c r="L99" s="17" t="str">
        <x:v>60*47*86</x:v>
      </x:c>
      <x:c r="M99" s="17" t="str">
        <x:v>Madera de parota Y cuerda de multifilamento 60*47*86</x:v>
      </x:c>
      <x:c r="N99" s="22" t="str">
        <x:v>pieza</x:v>
      </x:c>
      <x:c r="O99" s="23" t="n">
        <x:v>5990</x:v>
      </x:c>
      <x:c r="P99" s="23" t="n">
        <x:v>6499</x:v>
      </x:c>
      <x:c r="Q99" s="17" t="str">
        <x:v>$6,499 – $5,990</x:v>
      </x:c>
      <x:c r="R99" s="22" t="str">
        <x:v>confirmado</x:v>
      </x:c>
      <x:c r="S99" s="22" t="str">
        <x:v>Sí</x:v>
      </x:c>
      <x:c r="T99" s="24"/>
      <x:c r="U99" s="17" t="str">
        <x:v>https://graph.microsoft.com/v1.0/me/drive/items/01DHXXN7YJMCJUVPBWNJEJPJIH7B4OTAUR#page=36</x:v>
      </x:c>
      <x:c r="V99" s="17" t="str">
        <x:v>https://graph.microsoft.com/v1.0/me/drive/items/01DHXXN7YJMCJUVPBWNJEJPJIH7B4OTAUR</x:v>
      </x:c>
      <x:c r="W99" s="17" t="str">
        <x:v>dc76dc97a8557da9e0a288313fc4dc5a59318449b9f776ac3a2652043a4c2ad7</x:v>
      </x:c>
      <x:c r="X99" s="17" t="str">
        <x:v>SKU no publicado; se conserva una identidad técnica estable.</x:v>
      </x:c>
    </x:row>
    <x:row r="100" ht="34" customHeight="1">
      <x:c r="A100" s="17" t="str">
        <x:v>IDÉLIKA</x:v>
      </x:c>
      <x:c r="B100" s="17" t="str">
        <x:v>Fabricacion</x:v>
      </x:c>
      <x:c r="C100" s="17" t="str">
        <x:v>1 CATALOGO FABRICACION 2026B.pdf</x:v>
      </x:c>
      <x:c r="D100" s="21" t="n">
        <x:v>37</x:v>
      </x:c>
      <x:c r="E100" s="17" t="str">
        <x:v>idelika:fabricacion:sin-sku:c1d513e120c9c7d61b3f</x:v>
      </x:c>
      <x:c r="F100" s="17"/>
      <x:c r="G100" s="22" t="str">
        <x:v>por_verificar</x:v>
      </x:c>
      <x:c r="H100" s="17" t="str">
        <x:v>Oaxaca banco</x:v>
      </x:c>
      <x:c r="I100" s="17" t="str">
        <x:v>Oaxaca</x:v>
      </x:c>
      <x:c r="J100" s="17"/>
      <x:c r="K100" s="17" t="str">
        <x:v>Madera de parota Y cuerda de multifilamento</x:v>
      </x:c>
      <x:c r="L100" s="17" t="str">
        <x:v>68*56*95/105</x:v>
      </x:c>
      <x:c r="M100" s="17" t="str">
        <x:v>Madera de parota Y cuerda de multifilamento 68*56*95/105</x:v>
      </x:c>
      <x:c r="N100" s="22" t="str">
        <x:v>pieza</x:v>
      </x:c>
      <x:c r="O100" s="23" t="n">
        <x:v>6990</x:v>
      </x:c>
      <x:c r="P100" s="23" t="n">
        <x:v>7199</x:v>
      </x:c>
      <x:c r="Q100" s="17" t="str">
        <x:v>$7,199 – $6,990</x:v>
      </x:c>
      <x:c r="R100" s="22" t="str">
        <x:v>confirmado</x:v>
      </x:c>
      <x:c r="S100" s="22" t="str">
        <x:v>Sí</x:v>
      </x:c>
      <x:c r="T100" s="24"/>
      <x:c r="U100" s="17" t="str">
        <x:v>https://graph.microsoft.com/v1.0/me/drive/items/01DHXXN7YJMCJUVPBWNJEJPJIH7B4OTAUR#page=37</x:v>
      </x:c>
      <x:c r="V100" s="17" t="str">
        <x:v>https://graph.microsoft.com/v1.0/me/drive/items/01DHXXN7YJMCJUVPBWNJEJPJIH7B4OTAUR</x:v>
      </x:c>
      <x:c r="W100" s="17" t="str">
        <x:v>c1d513e120c9c7d61b3f41ed2c8a3aab06afcc86b9ed45b955eafeaf22812af8</x:v>
      </x:c>
      <x:c r="X100" s="17" t="str">
        <x:v>SKU no publicado; se conserva una identidad técnica estable.</x:v>
      </x:c>
    </x:row>
    <x:row r="101" ht="34" customHeight="1">
      <x:c r="A101" s="17" t="str">
        <x:v>IDÉLIKA</x:v>
      </x:c>
      <x:c r="B101" s="17" t="str">
        <x:v>Fabricacion</x:v>
      </x:c>
      <x:c r="C101" s="17" t="str">
        <x:v>1 CATALOGO FABRICACION 2026B.pdf</x:v>
      </x:c>
      <x:c r="D101" s="21" t="n">
        <x:v>37</x:v>
      </x:c>
      <x:c r="E101" s="17" t="str">
        <x:v>idelika:fabricacion:sin-sku:0615855213274e3e0bfe</x:v>
      </x:c>
      <x:c r="F101" s="17"/>
      <x:c r="G101" s="22" t="str">
        <x:v>por_verificar</x:v>
      </x:c>
      <x:c r="H101" s="17" t="str">
        <x:v>Mesa Tomatlán</x:v>
      </x:c>
      <x:c r="I101" s="17" t="str">
        <x:v>Oaxaca</x:v>
      </x:c>
      <x:c r="J101" s="17" t="str">
        <x:v>de 2.00 a 2.20</x:v>
      </x:c>
      <x:c r="K101" s="17" t="str">
        <x:v>Parota y acero</x:v>
      </x:c>
      <x:c r="L101" s="17"/>
      <x:c r="M101" s="17" t="str">
        <x:v>Parota y acero</x:v>
      </x:c>
      <x:c r="N101" s="22" t="str">
        <x:v>pieza</x:v>
      </x:c>
      <x:c r="O101" s="23" t="n">
        <x:v>29990</x:v>
      </x:c>
      <x:c r="P101" s="23" t="n">
        <x:v>32699</x:v>
      </x:c>
      <x:c r="Q101" s="17" t="str">
        <x:v>$32,699 – $29,990 de 2.00 a 2.20</x:v>
      </x:c>
      <x:c r="R101" s="22" t="str">
        <x:v>confirmado</x:v>
      </x:c>
      <x:c r="S101" s="22" t="str">
        <x:v>Sí</x:v>
      </x:c>
      <x:c r="T101" s="24"/>
      <x:c r="U101" s="17" t="str">
        <x:v>https://graph.microsoft.com/v1.0/me/drive/items/01DHXXN7YJMCJUVPBWNJEJPJIH7B4OTAUR#page=37</x:v>
      </x:c>
      <x:c r="V101" s="17" t="str">
        <x:v>https://graph.microsoft.com/v1.0/me/drive/items/01DHXXN7YJMCJUVPBWNJEJPJIH7B4OTAUR</x:v>
      </x:c>
      <x:c r="W101" s="17" t="str">
        <x:v>0615855213274e3e0bfecc92df9669b8bdecb5f23ba14f160b84958285f540b4</x:v>
      </x:c>
      <x:c r="X101" s="17" t="str">
        <x:v>SKU no publicado; se conserva una identidad técnica estable.</x:v>
      </x:c>
    </x:row>
    <x:row r="102" ht="34" customHeight="1">
      <x:c r="A102" s="17" t="str">
        <x:v>IDÉLIKA</x:v>
      </x:c>
      <x:c r="B102" s="17" t="str">
        <x:v>Fabricacion</x:v>
      </x:c>
      <x:c r="C102" s="17" t="str">
        <x:v>1 CATALOGO FABRICACION 2026B.pdf</x:v>
      </x:c>
      <x:c r="D102" s="21" t="n">
        <x:v>37</x:v>
      </x:c>
      <x:c r="E102" s="17" t="str">
        <x:v>idelika:fabricacion:sin-sku:5a22ac085f6e501a5d71</x:v>
      </x:c>
      <x:c r="F102" s="17"/>
      <x:c r="G102" s="22" t="str">
        <x:v>por_verificar</x:v>
      </x:c>
      <x:c r="H102" s="17" t="str">
        <x:v>Mesa Tomatlán</x:v>
      </x:c>
      <x:c r="I102" s="17" t="str">
        <x:v>Oaxaca</x:v>
      </x:c>
      <x:c r="J102" s="17" t="str">
        <x:v>de 2.40 a 2.60</x:v>
      </x:c>
      <x:c r="K102" s="17" t="str">
        <x:v>Parota y acero</x:v>
      </x:c>
      <x:c r="L102" s="17"/>
      <x:c r="M102" s="17" t="str">
        <x:v>Parota y acero</x:v>
      </x:c>
      <x:c r="N102" s="22" t="str">
        <x:v>pieza</x:v>
      </x:c>
      <x:c r="O102" s="23" t="n">
        <x:v>36990</x:v>
      </x:c>
      <x:c r="P102" s="23" t="n">
        <x:v>39699</x:v>
      </x:c>
      <x:c r="Q102" s="17" t="str">
        <x:v>$39,699 – $36,990 de 2.40 a 2.60</x:v>
      </x:c>
      <x:c r="R102" s="22" t="str">
        <x:v>confirmado</x:v>
      </x:c>
      <x:c r="S102" s="22" t="str">
        <x:v>Sí</x:v>
      </x:c>
      <x:c r="T102" s="24"/>
      <x:c r="U102" s="17" t="str">
        <x:v>https://graph.microsoft.com/v1.0/me/drive/items/01DHXXN7YJMCJUVPBWNJEJPJIH7B4OTAUR#page=37</x:v>
      </x:c>
      <x:c r="V102" s="17" t="str">
        <x:v>https://graph.microsoft.com/v1.0/me/drive/items/01DHXXN7YJMCJUVPBWNJEJPJIH7B4OTAUR</x:v>
      </x:c>
      <x:c r="W102" s="17" t="str">
        <x:v>5a22ac085f6e501a5d713ecee309df0cba161a4da379cb1a95965426bb144987</x:v>
      </x:c>
      <x:c r="X102" s="17" t="str">
        <x:v>SKU no publicado; se conserva una identidad técnica estable.</x:v>
      </x:c>
    </x:row>
    <x:row r="103" ht="34" customHeight="1">
      <x:c r="A103" s="17" t="str">
        <x:v>IDÉLIKA</x:v>
      </x:c>
      <x:c r="B103" s="17" t="str">
        <x:v>Fabricacion</x:v>
      </x:c>
      <x:c r="C103" s="17" t="str">
        <x:v>1 CATALOGO FABRICACION 2026B.pdf</x:v>
      </x:c>
      <x:c r="D103" s="21" t="n">
        <x:v>38</x:v>
      </x:c>
      <x:c r="E103" s="17" t="str">
        <x:v>idelika:fabricacion:sin-sku:31b6736bd909896f0654</x:v>
      </x:c>
      <x:c r="F103" s="17"/>
      <x:c r="G103" s="22" t="str">
        <x:v>por_verificar</x:v>
      </x:c>
      <x:c r="H103" s="17" t="str">
        <x:v>Oaxaca Cama de día</x:v>
      </x:c>
      <x:c r="I103" s="17"/>
      <x:c r="J103" s="17"/>
      <x:c r="K103" s="17" t="str">
        <x:v>Madera de parota o teka y Acero galvanizado Loneta 100% exterior atenzza</x:v>
      </x:c>
      <x:c r="L103" s="17" t="str">
        <x:v>185*158*79</x:v>
      </x:c>
      <x:c r="M103" s="17" t="str">
        <x:v>Madera de parota o teka y Acero galvanizado Loneta 100% exterior atenzza 185*158*79</x:v>
      </x:c>
      <x:c r="N103" s="22" t="str">
        <x:v>pieza</x:v>
      </x:c>
      <x:c r="O103" s="23" t="n">
        <x:v>39990</x:v>
      </x:c>
      <x:c r="P103" s="23" t="n">
        <x:v>49990</x:v>
      </x:c>
      <x:c r="Q103" s="17" t="str">
        <x:v>$49,990 – $39,990</x:v>
      </x:c>
      <x:c r="R103" s="22" t="str">
        <x:v>confirmado</x:v>
      </x:c>
      <x:c r="S103" s="22" t="str">
        <x:v>Sí</x:v>
      </x:c>
      <x:c r="T103" s="24"/>
      <x:c r="U103" s="17" t="str">
        <x:v>https://graph.microsoft.com/v1.0/me/drive/items/01DHXXN7YJMCJUVPBWNJEJPJIH7B4OTAUR#page=38</x:v>
      </x:c>
      <x:c r="V103" s="17" t="str">
        <x:v>https://graph.microsoft.com/v1.0/me/drive/items/01DHXXN7YJMCJUVPBWNJEJPJIH7B4OTAUR</x:v>
      </x:c>
      <x:c r="W103" s="17" t="str">
        <x:v>31b6736bd909896f0654f80382fdbdad82d5d3b1f67b2625043df680e1b487cf</x:v>
      </x:c>
      <x:c r="X103" s="17" t="str">
        <x:v>SKU no publicado; se conserva una identidad técnica estable.</x:v>
      </x:c>
    </x:row>
    <x:row r="104" ht="34" customHeight="1">
      <x:c r="A104" s="17" t="str">
        <x:v>IDÉLIKA</x:v>
      </x:c>
      <x:c r="B104" s="17" t="str">
        <x:v>Fabricacion</x:v>
      </x:c>
      <x:c r="C104" s="17" t="str">
        <x:v>1 CATALOGO FABRICACION 2026B.pdf</x:v>
      </x:c>
      <x:c r="D104" s="21" t="n">
        <x:v>38</x:v>
      </x:c>
      <x:c r="E104" s="17" t="str">
        <x:v>idelika:fabricacion:sin-sku:721fb888fe8a7ef23a3b</x:v>
      </x:c>
      <x:c r="F104" s="17"/>
      <x:c r="G104" s="22" t="str">
        <x:v>por_verificar</x:v>
      </x:c>
      <x:c r="H104" s="17" t="str">
        <x:v>Oaxaca camastro</x:v>
      </x:c>
      <x:c r="I104" s="17"/>
      <x:c r="J104" s="17"/>
      <x:c r="K104" s="17" t="str">
        <x:v>Madera de parota y Cuerda textilene Loneta 100% exterior atenzza</x:v>
      </x:c>
      <x:c r="L104" s="17" t="str">
        <x:v>170*70*78 camastro</x:v>
      </x:c>
      <x:c r="M104" s="17" t="str">
        <x:v>Madera de parota y Cuerda textilene Loneta 100% exterior atenzza 170*70*78 camastro Exterior 100%</x:v>
      </x:c>
      <x:c r="N104" s="22" t="str">
        <x:v>pieza</x:v>
      </x:c>
      <x:c r="O104" s="23" t="n">
        <x:v>16990</x:v>
      </x:c>
      <x:c r="P104" s="23" t="n">
        <x:v>17990</x:v>
      </x:c>
      <x:c r="Q104" s="17" t="str">
        <x:v>$17,990 – $16,990</x:v>
      </x:c>
      <x:c r="R104" s="22" t="str">
        <x:v>confirmado</x:v>
      </x:c>
      <x:c r="S104" s="22" t="str">
        <x:v>Sí</x:v>
      </x:c>
      <x:c r="T104" s="24"/>
      <x:c r="U104" s="17" t="str">
        <x:v>https://graph.microsoft.com/v1.0/me/drive/items/01DHXXN7YJMCJUVPBWNJEJPJIH7B4OTAUR#page=38</x:v>
      </x:c>
      <x:c r="V104" s="17" t="str">
        <x:v>https://graph.microsoft.com/v1.0/me/drive/items/01DHXXN7YJMCJUVPBWNJEJPJIH7B4OTAUR</x:v>
      </x:c>
      <x:c r="W104" s="17" t="str">
        <x:v>721fb888fe8a7ef23a3bd27587244eac47e99fabfe2f2c6a60ff88f4b654dbd2</x:v>
      </x:c>
      <x:c r="X104" s="17" t="str">
        <x:v>SKU no publicado; se conserva una identidad técnica estable.</x:v>
      </x:c>
    </x:row>
    <x:row r="105" ht="34" customHeight="1">
      <x:c r="A105" s="17" t="str">
        <x:v>IDÉLIKA</x:v>
      </x:c>
      <x:c r="B105" s="17" t="str">
        <x:v>Fabricacion</x:v>
      </x:c>
      <x:c r="C105" s="17" t="str">
        <x:v>1 CATALOGO FABRICACION 2026B.pdf</x:v>
      </x:c>
      <x:c r="D105" s="21" t="n">
        <x:v>38</x:v>
      </x:c>
      <x:c r="E105" s="17" t="str">
        <x:v>idelika:fabricacion:sin-sku:c127e0c0bd857466a039</x:v>
      </x:c>
      <x:c r="F105" s="17"/>
      <x:c r="G105" s="22" t="str">
        <x:v>por_verificar</x:v>
      </x:c>
      <x:c r="H105" s="17" t="str">
        <x:v>Oaxaca mesa lateral</x:v>
      </x:c>
      <x:c r="I105" s="17"/>
      <x:c r="J105" s="17"/>
      <x:c r="K105" s="17" t="str">
        <x:v>Madera de parota</x:v>
      </x:c>
      <x:c r="L105" s="17" t="str">
        <x:v>50*40*40</x:v>
      </x:c>
      <x:c r="M105" s="17" t="str">
        <x:v>Madera de parota Laca de exterior 50*40*40</x:v>
      </x:c>
      <x:c r="N105" s="22" t="str">
        <x:v>pieza</x:v>
      </x:c>
      <x:c r="O105" s="23" t="n">
        <x:v>3990</x:v>
      </x:c>
      <x:c r="P105" s="23" t="n">
        <x:v>4990</x:v>
      </x:c>
      <x:c r="Q105" s="17" t="str">
        <x:v>$4,990 – $3,990</x:v>
      </x:c>
      <x:c r="R105" s="22" t="str">
        <x:v>confirmado</x:v>
      </x:c>
      <x:c r="S105" s="22" t="str">
        <x:v>Sí</x:v>
      </x:c>
      <x:c r="T105" s="24"/>
      <x:c r="U105" s="17" t="str">
        <x:v>https://graph.microsoft.com/v1.0/me/drive/items/01DHXXN7YJMCJUVPBWNJEJPJIH7B4OTAUR#page=38</x:v>
      </x:c>
      <x:c r="V105" s="17" t="str">
        <x:v>https://graph.microsoft.com/v1.0/me/drive/items/01DHXXN7YJMCJUVPBWNJEJPJIH7B4OTAUR</x:v>
      </x:c>
      <x:c r="W105" s="17" t="str">
        <x:v>c127e0c0bd857466a0394561d2c4672ad2bf361e45c00c0f5751173065cb56a9</x:v>
      </x:c>
      <x:c r="X105" s="17" t="str">
        <x:v>SKU no publicado; se conserva una identidad técnica estable.</x:v>
      </x:c>
    </x:row>
    <x:row r="106" ht="34" customHeight="1">
      <x:c r="A106" s="17" t="str">
        <x:v>IDÉLIKA</x:v>
      </x:c>
      <x:c r="B106" s="17" t="str">
        <x:v>Fabricacion</x:v>
      </x:c>
      <x:c r="C106" s="17" t="str">
        <x:v>1 CATALOGO FABRICACION 2026B.pdf</x:v>
      </x:c>
      <x:c r="D106" s="21" t="n">
        <x:v>40</x:v>
      </x:c>
      <x:c r="E106" s="17" t="str">
        <x:v>idelika:fabricacion:sin-sku:564e74fdd04b17f7e632</x:v>
      </x:c>
      <x:c r="F106" s="17"/>
      <x:c r="G106" s="22" t="str">
        <x:v>por_verificar</x:v>
      </x:c>
      <x:c r="H106" s="17" t="str">
        <x:v>Sacaleta mesa</x:v>
      </x:c>
      <x:c r="I106" s="17"/>
      <x:c r="J106" s="17"/>
      <x:c r="K106" s="17" t="str">
        <x:v>Madera Maciza Eucalipto Madera Maciza Eucalipto</x:v>
      </x:c>
      <x:c r="L106" s="17" t="str">
        <x:v>100*60*32</x:v>
      </x:c>
      <x:c r="M106" s="17" t="str">
        <x:v>Madera Maciza Eucalipto 100*60*32 Sacaleta Love Madera Maciza Eucalipto 142*82*78</x:v>
      </x:c>
      <x:c r="N106" s="22" t="str">
        <x:v>pieza</x:v>
      </x:c>
      <x:c r="O106" s="23" t="n">
        <x:v>8990</x:v>
      </x:c>
      <x:c r="P106" s="23" t="n">
        <x:v>9990</x:v>
      </x:c>
      <x:c r="Q106" s="17" t="str">
        <x:v>$9,990 – $8,990</x:v>
      </x:c>
      <x:c r="R106" s="22" t="str">
        <x:v>confirmado</x:v>
      </x:c>
      <x:c r="S106" s="22" t="str">
        <x:v>Sí</x:v>
      </x:c>
      <x:c r="T106" s="24"/>
      <x:c r="U106" s="17" t="str">
        <x:v>https://graph.microsoft.com/v1.0/me/drive/items/01DHXXN7YJMCJUVPBWNJEJPJIH7B4OTAUR#page=40</x:v>
      </x:c>
      <x:c r="V106" s="17" t="str">
        <x:v>https://graph.microsoft.com/v1.0/me/drive/items/01DHXXN7YJMCJUVPBWNJEJPJIH7B4OTAUR</x:v>
      </x:c>
      <x:c r="W106" s="17" t="str">
        <x:v>564e74fdd04b17f7e632157cb894fee6522557ae937865ee2015336c28bbc137</x:v>
      </x:c>
      <x:c r="X106" s="17" t="str">
        <x:v>SKU no publicado; se conserva una identidad técnica estable.</x:v>
      </x:c>
    </x:row>
    <x:row r="107" ht="34" customHeight="1">
      <x:c r="A107" s="17" t="str">
        <x:v>IDÉLIKA</x:v>
      </x:c>
      <x:c r="B107" s="17" t="str">
        <x:v>Fabricacion</x:v>
      </x:c>
      <x:c r="C107" s="17" t="str">
        <x:v>1 CATALOGO FABRICACION 2026B.pdf</x:v>
      </x:c>
      <x:c r="D107" s="21" t="n">
        <x:v>40</x:v>
      </x:c>
      <x:c r="E107" s="17" t="str">
        <x:v>idelika:fabricacion:sin-sku:0bb8df0dd9e614733dbe</x:v>
      </x:c>
      <x:c r="F107" s="17"/>
      <x:c r="G107" s="22" t="str">
        <x:v>por_verificar</x:v>
      </x:c>
      <x:c r="H107" s="17" t="str">
        <x:v>Sacaleta mesa</x:v>
      </x:c>
      <x:c r="I107" s="17"/>
      <x:c r="J107" s="17"/>
      <x:c r="K107" s="17" t="str">
        <x:v>Madera Maciza Eucalipto Madera Maciza Eucalipto</x:v>
      </x:c>
      <x:c r="L107" s="17" t="str">
        <x:v>142*82*78</x:v>
      </x:c>
      <x:c r="M107" s="17" t="str">
        <x:v>Madera Maciza Eucalipto 100*60*32 Sacaleta Love Madera Maciza Eucalipto 142*82*78</x:v>
      </x:c>
      <x:c r="N107" s="22" t="str">
        <x:v>pieza</x:v>
      </x:c>
      <x:c r="O107" s="23" t="n">
        <x:v>24990</x:v>
      </x:c>
      <x:c r="P107" s="23" t="n">
        <x:v>25990</x:v>
      </x:c>
      <x:c r="Q107" s="17" t="str">
        <x:v>$25,990 – $24,990</x:v>
      </x:c>
      <x:c r="R107" s="22" t="str">
        <x:v>confirmado</x:v>
      </x:c>
      <x:c r="S107" s="22" t="str">
        <x:v>Sí</x:v>
      </x:c>
      <x:c r="T107" s="24"/>
      <x:c r="U107" s="17" t="str">
        <x:v>https://graph.microsoft.com/v1.0/me/drive/items/01DHXXN7YJMCJUVPBWNJEJPJIH7B4OTAUR#page=40</x:v>
      </x:c>
      <x:c r="V107" s="17" t="str">
        <x:v>https://graph.microsoft.com/v1.0/me/drive/items/01DHXXN7YJMCJUVPBWNJEJPJIH7B4OTAUR</x:v>
      </x:c>
      <x:c r="W107" s="17" t="str">
        <x:v>0bb8df0dd9e614733dbe517e910735d4206d9bdb4b1fd5d9ab9b81e031e9b41b</x:v>
      </x:c>
      <x:c r="X107" s="17" t="str">
        <x:v>SKU no publicado; se conserva una identidad técnica estable.</x:v>
      </x:c>
    </x:row>
    <x:row r="108" ht="34" customHeight="1">
      <x:c r="A108" s="17" t="str">
        <x:v>IDÉLIKA</x:v>
      </x:c>
      <x:c r="B108" s="17" t="str">
        <x:v>Fabricacion</x:v>
      </x:c>
      <x:c r="C108" s="17" t="str">
        <x:v>1 CATALOGO FABRICACION 2026B.pdf</x:v>
      </x:c>
      <x:c r="D108" s="21" t="n">
        <x:v>40</x:v>
      </x:c>
      <x:c r="E108" s="17" t="str">
        <x:v>idelika:fabricacion:sin-sku:a9e19efbffe3af99922c</x:v>
      </x:c>
      <x:c r="F108" s="17"/>
      <x:c r="G108" s="22" t="str">
        <x:v>por_verificar</x:v>
      </x:c>
      <x:c r="H108" s="17" t="str">
        <x:v>Sacaleta Sillón</x:v>
      </x:c>
      <x:c r="I108" s="17"/>
      <x:c r="J108" s="17"/>
      <x:c r="K108" s="17" t="str">
        <x:v>Madera Maciza Eucalipto</x:v>
      </x:c>
      <x:c r="L108" s="17" t="str">
        <x:v>77*82*78</x:v>
      </x:c>
      <x:c r="M108" s="17" t="str">
        <x:v>Madera Maciza Eucalipto 77*82*78</x:v>
      </x:c>
      <x:c r="N108" s="22" t="str">
        <x:v>pieza</x:v>
      </x:c>
      <x:c r="O108" s="23" t="n">
        <x:v>16990</x:v>
      </x:c>
      <x:c r="P108" s="23" t="n">
        <x:v>18990</x:v>
      </x:c>
      <x:c r="Q108" s="17" t="str">
        <x:v>$18,990 – $16,990</x:v>
      </x:c>
      <x:c r="R108" s="22" t="str">
        <x:v>confirmado</x:v>
      </x:c>
      <x:c r="S108" s="22" t="str">
        <x:v>Sí</x:v>
      </x:c>
      <x:c r="T108" s="24"/>
      <x:c r="U108" s="17" t="str">
        <x:v>https://graph.microsoft.com/v1.0/me/drive/items/01DHXXN7YJMCJUVPBWNJEJPJIH7B4OTAUR#page=40</x:v>
      </x:c>
      <x:c r="V108" s="17" t="str">
        <x:v>https://graph.microsoft.com/v1.0/me/drive/items/01DHXXN7YJMCJUVPBWNJEJPJIH7B4OTAUR</x:v>
      </x:c>
      <x:c r="W108" s="17" t="str">
        <x:v>a9e19efbffe3af99922cc19be928955e8d1b90f7b96f0d90d1ebc0aae2455632</x:v>
      </x:c>
      <x:c r="X108" s="17" t="str">
        <x:v>SKU no publicado; se conserva una identidad técnica estable.</x:v>
      </x:c>
    </x:row>
    <x:row r="109" ht="34" customHeight="1">
      <x:c r="A109" s="17" t="str">
        <x:v>IDÉLIKA</x:v>
      </x:c>
      <x:c r="B109" s="17" t="str">
        <x:v>Fabricacion</x:v>
      </x:c>
      <x:c r="C109" s="17" t="str">
        <x:v>1 CATALOGO FABRICACION 2026B.pdf</x:v>
      </x:c>
      <x:c r="D109" s="21" t="n">
        <x:v>40</x:v>
      </x:c>
      <x:c r="E109" s="17" t="str">
        <x:v>idelika:fabricacion:sin-sku:7ba92c010b7822b29580</x:v>
      </x:c>
      <x:c r="F109" s="17"/>
      <x:c r="G109" s="22" t="str">
        <x:v>por_verificar</x:v>
      </x:c>
      <x:c r="H109" s="17" t="str">
        <x:v>Ulrich mesa comedor</x:v>
      </x:c>
      <x:c r="I109" s="17"/>
      <x:c r="J109" s="17"/>
      <x:c r="K109" s="17" t="str">
        <x:v>Patas de acero galvanizado y Cubierta de cemento negro</x:v>
      </x:c>
      <x:c r="L109" s="17" t="str">
        <x:v>75*75*75</x:v>
      </x:c>
      <x:c r="M109" s="17" t="str">
        <x:v>Patas de acero galvanizado y Cubierta de cemento negro 75*75*75 Calidad contract (uso rudo)</x:v>
      </x:c>
      <x:c r="N109" s="22" t="str">
        <x:v>pieza</x:v>
      </x:c>
      <x:c r="O109" s="23" t="n">
        <x:v>8990</x:v>
      </x:c>
      <x:c r="P109" s="23" t="n">
        <x:v>9990</x:v>
      </x:c>
      <x:c r="Q109" s="17" t="str">
        <x:v>$9,990 – $8,990</x:v>
      </x:c>
      <x:c r="R109" s="22" t="str">
        <x:v>confirmado</x:v>
      </x:c>
      <x:c r="S109" s="22" t="str">
        <x:v>Sí</x:v>
      </x:c>
      <x:c r="T109" s="24"/>
      <x:c r="U109" s="17" t="str">
        <x:v>https://graph.microsoft.com/v1.0/me/drive/items/01DHXXN7YJMCJUVPBWNJEJPJIH7B4OTAUR#page=40</x:v>
      </x:c>
      <x:c r="V109" s="17" t="str">
        <x:v>https://graph.microsoft.com/v1.0/me/drive/items/01DHXXN7YJMCJUVPBWNJEJPJIH7B4OTAUR</x:v>
      </x:c>
      <x:c r="W109" s="17" t="str">
        <x:v>7ba92c010b7822b29580793c1a3666ac02b87edacdfa07b4dc19b87488e5f5a7</x:v>
      </x:c>
      <x:c r="X109" s="17" t="str">
        <x:v>SKU no publicado; se conserva una identidad técnica estable.</x:v>
      </x:c>
    </x:row>
    <x:row r="110" ht="34" customHeight="1">
      <x:c r="A110" s="17" t="str">
        <x:v>IDÉLIKA</x:v>
      </x:c>
      <x:c r="B110" s="17" t="str">
        <x:v>Fabricacion</x:v>
      </x:c>
      <x:c r="C110" s="17" t="str">
        <x:v>1 CATALOGO FABRICACION 2026B.pdf</x:v>
      </x:c>
      <x:c r="D110" s="21" t="n">
        <x:v>40</x:v>
      </x:c>
      <x:c r="E110" s="17" t="str">
        <x:v>idelika:fabricacion:sin-sku:d12c3824021273e49d3f</x:v>
      </x:c>
      <x:c r="F110" s="17"/>
      <x:c r="G110" s="22" t="str">
        <x:v>por_verificar</x:v>
      </x:c>
      <x:c r="H110" s="17" t="str">
        <x:v>Silla Stad</x:v>
      </x:c>
      <x:c r="I110" s="17"/>
      <x:c r="J110" s="17"/>
      <x:c r="K110" s="17" t="str">
        <x:v>Patas de acero galvanizado y Cuerda marina cojinería loneta</x:v>
      </x:c>
      <x:c r="L110" s="17"/>
      <x:c r="M110" s="17" t="str">
        <x:v>Patas de acero galvanizado y Cuerda marina cojinería loneta Calidad contract (uso rudo)</x:v>
      </x:c>
      <x:c r="N110" s="22" t="str">
        <x:v>pieza</x:v>
      </x:c>
      <x:c r="O110" s="23" t="n">
        <x:v>3990</x:v>
      </x:c>
      <x:c r="P110" s="23" t="n">
        <x:v>4990</x:v>
      </x:c>
      <x:c r="Q110" s="17" t="str">
        <x:v>$4,990 – $3,990</x:v>
      </x:c>
      <x:c r="R110" s="22" t="str">
        <x:v>confirmado</x:v>
      </x:c>
      <x:c r="S110" s="22" t="str">
        <x:v>Sí</x:v>
      </x:c>
      <x:c r="T110" s="24"/>
      <x:c r="U110" s="17" t="str">
        <x:v>https://graph.microsoft.com/v1.0/me/drive/items/01DHXXN7YJMCJUVPBWNJEJPJIH7B4OTAUR#page=40</x:v>
      </x:c>
      <x:c r="V110" s="17" t="str">
        <x:v>https://graph.microsoft.com/v1.0/me/drive/items/01DHXXN7YJMCJUVPBWNJEJPJIH7B4OTAUR</x:v>
      </x:c>
      <x:c r="W110" s="17" t="str">
        <x:v>d12c3824021273e49d3f5f4491d95622f0a88477d45853b0df19fe01ecad9e7c</x:v>
      </x:c>
      <x:c r="X110" s="17" t="str">
        <x:v>SKU no publicado; se conserva una identidad técnica estable.</x:v>
      </x:c>
    </x:row>
    <x:row r="111" ht="34" customHeight="1">
      <x:c r="A111" s="17" t="str">
        <x:v>IDÉLIKA</x:v>
      </x:c>
      <x:c r="B111" s="17" t="str">
        <x:v>Fabricacion</x:v>
      </x:c>
      <x:c r="C111" s="17" t="str">
        <x:v>1 CATALOGO FABRICACION 2026B.pdf</x:v>
      </x:c>
      <x:c r="D111" s="21" t="n">
        <x:v>42</x:v>
      </x:c>
      <x:c r="E111" s="17" t="str">
        <x:v>idelika:fabricacion:sin-sku:e91f357082614796fc30</x:v>
      </x:c>
      <x:c r="F111" s="17"/>
      <x:c r="G111" s="22" t="str">
        <x:v>por_verificar</x:v>
      </x:c>
      <x:c r="H111" s="17" t="str">
        <x:v>Armada silla</x:v>
      </x:c>
      <x:c r="I111" s="17"/>
      <x:c r="J111" s="17" t="str">
        <x:v>exterior techado</x:v>
      </x:c>
      <x:c r="K111" s="17" t="str">
        <x:v>Acero con pintura electroestática cuerda de multifilamento</x:v>
      </x:c>
      <x:c r="L111" s="17" t="str">
        <x:v>Fabricación 41*50*77</x:v>
      </x:c>
      <x:c r="M111" s="17" t="str">
        <x:v>Acero con pintura electroestática cuerda de multifilamento</x:v>
      </x:c>
      <x:c r="N111" s="22" t="str">
        <x:v>pieza</x:v>
      </x:c>
      <x:c r="O111" s="23" t="n">
        <x:v>2399</x:v>
      </x:c>
      <x:c r="P111" s="23" t="n">
        <x:v>2599</x:v>
      </x:c>
      <x:c r="Q111" s="17" t="str">
        <x:v>$2,599 – $2,399 exterior techado</x:v>
      </x:c>
      <x:c r="R111" s="22" t="str">
        <x:v>confirmado</x:v>
      </x:c>
      <x:c r="S111" s="22" t="str">
        <x:v>Sí</x:v>
      </x:c>
      <x:c r="T111" s="24"/>
      <x:c r="U111" s="17" t="str">
        <x:v>https://graph.microsoft.com/v1.0/me/drive/items/01DHXXN7YJMCJUVPBWNJEJPJIH7B4OTAUR#page=42</x:v>
      </x:c>
      <x:c r="V111" s="17" t="str">
        <x:v>https://graph.microsoft.com/v1.0/me/drive/items/01DHXXN7YJMCJUVPBWNJEJPJIH7B4OTAUR</x:v>
      </x:c>
      <x:c r="W111" s="17" t="str">
        <x:v>e91f357082614796fc301aba659a7f507df61156b93952e30b76c96f23d486a5</x:v>
      </x:c>
      <x:c r="X111" s="17" t="str">
        <x:v>SKU no publicado; se conserva una identidad técnica estable.</x:v>
      </x:c>
    </x:row>
    <x:row r="112" ht="34" customHeight="1">
      <x:c r="A112" s="17" t="str">
        <x:v>IDÉLIKA</x:v>
      </x:c>
      <x:c r="B112" s="17" t="str">
        <x:v>Fabricacion</x:v>
      </x:c>
      <x:c r="C112" s="17" t="str">
        <x:v>1 CATALOGO FABRICACION 2026B.pdf</x:v>
      </x:c>
      <x:c r="D112" s="21" t="n">
        <x:v>42</x:v>
      </x:c>
      <x:c r="E112" s="17" t="str">
        <x:v>idelika:fabricacion:sin-sku:7bd8120801b703614bd3</x:v>
      </x:c>
      <x:c r="F112" s="17"/>
      <x:c r="G112" s="22" t="str">
        <x:v>por_verificar</x:v>
      </x:c>
      <x:c r="H112" s="17" t="str">
        <x:v>Huasteca silla</x:v>
      </x:c>
      <x:c r="I112" s="17"/>
      <x:c r="J112" s="17" t="str">
        <x:v>sin cojín</x:v>
      </x:c>
      <x:c r="K112" s="17"/>
      <x:c r="L112" s="17" t="str">
        <x:v>Fabricación 69*59*79</x:v>
      </x:c>
      <x:c r="M112" s="17" t="str">
        <x:v>Huasteca silla</x:v>
      </x:c>
      <x:c r="N112" s="22" t="str">
        <x:v>pieza</x:v>
      </x:c>
      <x:c r="O112" s="23" t="n">
        <x:v>2999</x:v>
      </x:c>
      <x:c r="P112" s="23" t="n">
        <x:v>3599</x:v>
      </x:c>
      <x:c r="Q112" s="17" t="str">
        <x:v>$3,599 – $2,999 sin cojín</x:v>
      </x:c>
      <x:c r="R112" s="22" t="str">
        <x:v>confirmado</x:v>
      </x:c>
      <x:c r="S112" s="22" t="str">
        <x:v>Sí</x:v>
      </x:c>
      <x:c r="T112" s="24"/>
      <x:c r="U112" s="17" t="str">
        <x:v>https://graph.microsoft.com/v1.0/me/drive/items/01DHXXN7YJMCJUVPBWNJEJPJIH7B4OTAUR#page=42</x:v>
      </x:c>
      <x:c r="V112" s="17" t="str">
        <x:v>https://graph.microsoft.com/v1.0/me/drive/items/01DHXXN7YJMCJUVPBWNJEJPJIH7B4OTAUR</x:v>
      </x:c>
      <x:c r="W112" s="17" t="str">
        <x:v>7bd8120801b703614bd3eeee698995d01c67e41790464369e99c8b67bc92596c</x:v>
      </x:c>
      <x:c r="X112" s="17" t="str">
        <x:v>SKU no publicado; se conserva una identidad técnica estable.</x:v>
      </x:c>
    </x:row>
    <x:row r="113" ht="34" customHeight="1">
      <x:c r="A113" s="17" t="str">
        <x:v>IDÉLIKA</x:v>
      </x:c>
      <x:c r="B113" s="17" t="str">
        <x:v>Fabricacion</x:v>
      </x:c>
      <x:c r="C113" s="17" t="str">
        <x:v>1 CATALOGO FABRICACION 2026B.pdf</x:v>
      </x:c>
      <x:c r="D113" s="21" t="n">
        <x:v>42</x:v>
      </x:c>
      <x:c r="E113" s="17" t="str">
        <x:v>idelika:fabricacion:sin-sku:ac05650399fc180c89e3</x:v>
      </x:c>
      <x:c r="F113" s="17"/>
      <x:c r="G113" s="22" t="str">
        <x:v>por_verificar</x:v>
      </x:c>
      <x:c r="H113" s="17" t="str">
        <x:v>Huasteca silla</x:v>
      </x:c>
      <x:c r="I113" s="17"/>
      <x:c r="J113" s="17" t="str">
        <x:v>con cojín</x:v>
      </x:c>
      <x:c r="K113" s="17"/>
      <x:c r="L113" s="17"/>
      <x:c r="M113" s="17" t="str">
        <x:v>Huasteca silla</x:v>
      </x:c>
      <x:c r="N113" s="22" t="str">
        <x:v>pieza</x:v>
      </x:c>
      <x:c r="O113" s="23" t="n">
        <x:v>3399</x:v>
      </x:c>
      <x:c r="P113" s="23" t="n">
        <x:v>3899</x:v>
      </x:c>
      <x:c r="Q113" s="17" t="str">
        <x:v>$3,899 – $3,399 con cojín</x:v>
      </x:c>
      <x:c r="R113" s="22" t="str">
        <x:v>confirmado</x:v>
      </x:c>
      <x:c r="S113" s="22" t="str">
        <x:v>Sí</x:v>
      </x:c>
      <x:c r="T113" s="24"/>
      <x:c r="U113" s="17" t="str">
        <x:v>https://graph.microsoft.com/v1.0/me/drive/items/01DHXXN7YJMCJUVPBWNJEJPJIH7B4OTAUR#page=42</x:v>
      </x:c>
      <x:c r="V113" s="17" t="str">
        <x:v>https://graph.microsoft.com/v1.0/me/drive/items/01DHXXN7YJMCJUVPBWNJEJPJIH7B4OTAUR</x:v>
      </x:c>
      <x:c r="W113" s="17" t="str">
        <x:v>ac05650399fc180c89e34dca12c77048edb16ee10a78cfd64ed2f8ebf32ab85d</x:v>
      </x:c>
      <x:c r="X113" s="17" t="str">
        <x:v>SKU no publicado; se conserva una identidad técnica estable.</x:v>
      </x:c>
    </x:row>
    <x:row r="114" ht="34" customHeight="1">
      <x:c r="A114" s="17" t="str">
        <x:v>IDÉLIKA</x:v>
      </x:c>
      <x:c r="B114" s="17" t="str">
        <x:v>Fabricacion</x:v>
      </x:c>
      <x:c r="C114" s="17" t="str">
        <x:v>1 CATALOGO FABRICACION 2026B.pdf</x:v>
      </x:c>
      <x:c r="D114" s="21" t="n">
        <x:v>42</x:v>
      </x:c>
      <x:c r="E114" s="17" t="str">
        <x:v>idelika:fabricacion:sin-sku:a3c972a013ba8e9bade3</x:v>
      </x:c>
      <x:c r="F114" s="17"/>
      <x:c r="G114" s="22" t="str">
        <x:v>por_verificar</x:v>
      </x:c>
      <x:c r="H114" s="17" t="str">
        <x:v>San Luis silla</x:v>
      </x:c>
      <x:c r="I114" s="17"/>
      <x:c r="J114" s="17" t="str">
        <x:v>exterior techado</x:v>
      </x:c>
      <x:c r="K114" s="17" t="str">
        <x:v>Acero con pintura electroestática cuerda de multifilamento</x:v>
      </x:c>
      <x:c r="L114" s="17" t="str">
        <x:v>Fabricación 69*59*79</x:v>
      </x:c>
      <x:c r="M114" s="17" t="str">
        <x:v>Acero con pintura electroestática cuerda de multifilamento</x:v>
      </x:c>
      <x:c r="N114" s="22" t="str">
        <x:v>pieza</x:v>
      </x:c>
      <x:c r="O114" s="23" t="n">
        <x:v>2999</x:v>
      </x:c>
      <x:c r="P114" s="23" t="n">
        <x:v>3599</x:v>
      </x:c>
      <x:c r="Q114" s="17" t="str">
        <x:v>$3,599 – $2,999 exterior techado</x:v>
      </x:c>
      <x:c r="R114" s="22" t="str">
        <x:v>confirmado</x:v>
      </x:c>
      <x:c r="S114" s="22" t="str">
        <x:v>Sí</x:v>
      </x:c>
      <x:c r="T114" s="24"/>
      <x:c r="U114" s="17" t="str">
        <x:v>https://graph.microsoft.com/v1.0/me/drive/items/01DHXXN7YJMCJUVPBWNJEJPJIH7B4OTAUR#page=42</x:v>
      </x:c>
      <x:c r="V114" s="17" t="str">
        <x:v>https://graph.microsoft.com/v1.0/me/drive/items/01DHXXN7YJMCJUVPBWNJEJPJIH7B4OTAUR</x:v>
      </x:c>
      <x:c r="W114" s="17" t="str">
        <x:v>a3c972a013ba8e9bade38fb7c2ac5c2193ce9a9985855174bd2145ef9c78197d</x:v>
      </x:c>
      <x:c r="X114" s="17" t="str">
        <x:v>SKU no publicado; se conserva una identidad técnica estable.</x:v>
      </x:c>
    </x:row>
    <x:row r="115" ht="34" customHeight="1">
      <x:c r="A115" s="17" t="str">
        <x:v>IDÉLIKA</x:v>
      </x:c>
      <x:c r="B115" s="17" t="str">
        <x:v>Fabricacion</x:v>
      </x:c>
      <x:c r="C115" s="17" t="str">
        <x:v>1 CATALOGO FABRICACION 2026B.pdf</x:v>
      </x:c>
      <x:c r="D115" s="21" t="n">
        <x:v>43</x:v>
      </x:c>
      <x:c r="E115" s="17" t="str">
        <x:v>idelika:fabricacion:sin-sku:abf9fde6152a324254fc</x:v>
      </x:c>
      <x:c r="F115" s="17"/>
      <x:c r="G115" s="22" t="str">
        <x:v>por_verificar</x:v>
      </x:c>
      <x:c r="H115" s="17" t="str">
        <x:v>Arandas silla</x:v>
      </x:c>
      <x:c r="I115" s="17"/>
      <x:c r="J115" s="17" t="str">
        <x:v>exterior techado</x:v>
      </x:c>
      <x:c r="K115" s="17" t="str">
        <x:v>Acero con pintura electroestática cuerda de multifilamento (con cojín)</x:v>
      </x:c>
      <x:c r="L115" s="17" t="str">
        <x:v>Fabricación 69*69*79</x:v>
      </x:c>
      <x:c r="M115" s="17" t="str">
        <x:v>Acero con pintura electroestática cuerda de multifilamento (con cojín)</x:v>
      </x:c>
      <x:c r="N115" s="22" t="str">
        <x:v>pieza</x:v>
      </x:c>
      <x:c r="O115" s="23" t="n">
        <x:v>3199</x:v>
      </x:c>
      <x:c r="P115" s="23" t="n">
        <x:v>3599</x:v>
      </x:c>
      <x:c r="Q115" s="17" t="str">
        <x:v>$3,599 – $3,199 exterior techado</x:v>
      </x:c>
      <x:c r="R115" s="22" t="str">
        <x:v>confirmado</x:v>
      </x:c>
      <x:c r="S115" s="22" t="str">
        <x:v>Sí</x:v>
      </x:c>
      <x:c r="T115" s="24"/>
      <x:c r="U115" s="17" t="str">
        <x:v>https://graph.microsoft.com/v1.0/me/drive/items/01DHXXN7YJMCJUVPBWNJEJPJIH7B4OTAUR#page=43</x:v>
      </x:c>
      <x:c r="V115" s="17" t="str">
        <x:v>https://graph.microsoft.com/v1.0/me/drive/items/01DHXXN7YJMCJUVPBWNJEJPJIH7B4OTAUR</x:v>
      </x:c>
      <x:c r="W115" s="17" t="str">
        <x:v>abf9fde6152a324254fc6f8ee008801bea1eef35d79b825dcaed108dcd02cada</x:v>
      </x:c>
      <x:c r="X115" s="17" t="str">
        <x:v>SKU no publicado; se conserva una identidad técnica estable.</x:v>
      </x:c>
    </x:row>
    <x:row r="116" ht="34" customHeight="1">
      <x:c r="A116" s="17" t="str">
        <x:v>IDÉLIKA</x:v>
      </x:c>
      <x:c r="B116" s="17" t="str">
        <x:v>Fabricacion</x:v>
      </x:c>
      <x:c r="C116" s="17" t="str">
        <x:v>1 CATALOGO FABRICACION 2026B.pdf</x:v>
      </x:c>
      <x:c r="D116" s="21" t="n">
        <x:v>43</x:v>
      </x:c>
      <x:c r="E116" s="17" t="str">
        <x:v>idelika:fabricacion:sin-sku:aec41e1a3ddb3002ca40</x:v>
      </x:c>
      <x:c r="F116" s="17"/>
      <x:c r="G116" s="22" t="str">
        <x:v>por_verificar</x:v>
      </x:c>
      <x:c r="H116" s="17" t="str">
        <x:v>Autlán silla</x:v>
      </x:c>
      <x:c r="I116" s="17"/>
      <x:c r="J116" s="17" t="str">
        <x:v>exterior techado</x:v>
      </x:c>
      <x:c r="K116" s="17" t="str">
        <x:v>Acero con pintura electroestática Ratán sintético (con cojínes)</x:v>
      </x:c>
      <x:c r="L116" s="17" t="str">
        <x:v>Fabricación 69*69*79</x:v>
      </x:c>
      <x:c r="M116" s="17" t="str">
        <x:v>Acero con pintura electroestática Ratán sintético (con cojínes)</x:v>
      </x:c>
      <x:c r="N116" s="22" t="str">
        <x:v>pieza</x:v>
      </x:c>
      <x:c r="O116" s="23" t="n">
        <x:v>3599</x:v>
      </x:c>
      <x:c r="P116" s="23" t="n">
        <x:v>3999</x:v>
      </x:c>
      <x:c r="Q116" s="17" t="str">
        <x:v>$3,599 – $3,999 exterior techado</x:v>
      </x:c>
      <x:c r="R116" s="22" t="str">
        <x:v>confirmado</x:v>
      </x:c>
      <x:c r="S116" s="22" t="str">
        <x:v>Sí</x:v>
      </x:c>
      <x:c r="T116" s="24"/>
      <x:c r="U116" s="17" t="str">
        <x:v>https://graph.microsoft.com/v1.0/me/drive/items/01DHXXN7YJMCJUVPBWNJEJPJIH7B4OTAUR#page=43</x:v>
      </x:c>
      <x:c r="V116" s="17" t="str">
        <x:v>https://graph.microsoft.com/v1.0/me/drive/items/01DHXXN7YJMCJUVPBWNJEJPJIH7B4OTAUR</x:v>
      </x:c>
      <x:c r="W116" s="17" t="str">
        <x:v>aec41e1a3ddb3002ca4090697623526c36e0e2eb353afcf57b31d24438b95d4d</x:v>
      </x:c>
      <x:c r="X116" s="17" t="str">
        <x:v>SKU no publicado; se conserva una identidad técnica estable.</x:v>
      </x:c>
    </x:row>
    <x:row r="117" ht="34" customHeight="1">
      <x:c r="A117" s="17" t="str">
        <x:v>IDÉLIKA</x:v>
      </x:c>
      <x:c r="B117" s="17" t="str">
        <x:v>Fabricacion</x:v>
      </x:c>
      <x:c r="C117" s="17" t="str">
        <x:v>1 CATALOGO FABRICACION 2026B.pdf</x:v>
      </x:c>
      <x:c r="D117" s="21" t="n">
        <x:v>43</x:v>
      </x:c>
      <x:c r="E117" s="17" t="str">
        <x:v>idelika:fabricacion:sin-sku:142c7fb430b9757ed26e</x:v>
      </x:c>
      <x:c r="F117" s="17"/>
      <x:c r="G117" s="22" t="str">
        <x:v>por_verificar</x:v>
      </x:c>
      <x:c r="H117" s="17" t="str">
        <x:v>Ameca silla</x:v>
      </x:c>
      <x:c r="I117" s="17"/>
      <x:c r="J117" s="17" t="str">
        <x:v>exterior techado</x:v>
      </x:c>
      <x:c r="K117" s="17" t="str">
        <x:v>Acero con pintura electroestática Cuerda de multifilamento</x:v>
      </x:c>
      <x:c r="L117" s="17" t="str">
        <x:v>Fabricación 69*69*79</x:v>
      </x:c>
      <x:c r="M117" s="17" t="str">
        <x:v>Acero con pintura electroestática Cuerda de multifilamento</x:v>
      </x:c>
      <x:c r="N117" s="22" t="str">
        <x:v>pieza</x:v>
      </x:c>
      <x:c r="O117" s="23" t="n">
        <x:v>2599</x:v>
      </x:c>
      <x:c r="P117" s="23" t="n">
        <x:v>2799</x:v>
      </x:c>
      <x:c r="Q117" s="17" t="str">
        <x:v>$2,799 – $2,599 exterior techado</x:v>
      </x:c>
      <x:c r="R117" s="22" t="str">
        <x:v>confirmado</x:v>
      </x:c>
      <x:c r="S117" s="22" t="str">
        <x:v>Sí</x:v>
      </x:c>
      <x:c r="T117" s="24"/>
      <x:c r="U117" s="17" t="str">
        <x:v>https://graph.microsoft.com/v1.0/me/drive/items/01DHXXN7YJMCJUVPBWNJEJPJIH7B4OTAUR#page=43</x:v>
      </x:c>
      <x:c r="V117" s="17" t="str">
        <x:v>https://graph.microsoft.com/v1.0/me/drive/items/01DHXXN7YJMCJUVPBWNJEJPJIH7B4OTAUR</x:v>
      </x:c>
      <x:c r="W117" s="17" t="str">
        <x:v>142c7fb430b9757ed26e65f14aa9063e8b686da4b97fbb378591369546b50f8b</x:v>
      </x:c>
      <x:c r="X117" s="17" t="str">
        <x:v>SKU no publicado; se conserva una identidad técnica estable.</x:v>
      </x:c>
    </x:row>
    <x:row r="118" ht="34" customHeight="1">
      <x:c r="A118" s="17" t="str">
        <x:v>IDÉLIKA</x:v>
      </x:c>
      <x:c r="B118" s="17" t="str">
        <x:v>Fabricacion</x:v>
      </x:c>
      <x:c r="C118" s="17" t="str">
        <x:v>1 CATALOGO FABRICACION 2026B.pdf</x:v>
      </x:c>
      <x:c r="D118" s="21" t="n">
        <x:v>44</x:v>
      </x:c>
      <x:c r="E118" s="17" t="str">
        <x:v>idelika:fabricacion:sin-sku:749ca7c9debfa3b8b74a</x:v>
      </x:c>
      <x:c r="F118" s="17"/>
      <x:c r="G118" s="22" t="str">
        <x:v>por_verificar</x:v>
      </x:c>
      <x:c r="H118" s="17" t="str">
        <x:v>Bolaños silla</x:v>
      </x:c>
      <x:c r="I118" s="17"/>
      <x:c r="J118" s="17" t="str">
        <x:v>exterior techado</x:v>
      </x:c>
      <x:c r="K118" s="17" t="str">
        <x:v>Acero con pintura electroestática cuerda de multifilamento</x:v>
      </x:c>
      <x:c r="L118" s="17" t="str">
        <x:v>Fabricación 59*69*79</x:v>
      </x:c>
      <x:c r="M118" s="17" t="str">
        <x:v>Acero con pintura electroestática cuerda de multifilamento</x:v>
      </x:c>
      <x:c r="N118" s="22" t="str">
        <x:v>pieza</x:v>
      </x:c>
      <x:c r="O118" s="23" t="n">
        <x:v>3399</x:v>
      </x:c>
      <x:c r="P118" s="23" t="n">
        <x:v>3599</x:v>
      </x:c>
      <x:c r="Q118" s="17" t="str">
        <x:v>$3,599 – $3,399 exterior techado</x:v>
      </x:c>
      <x:c r="R118" s="22" t="str">
        <x:v>confirmado</x:v>
      </x:c>
      <x:c r="S118" s="22" t="str">
        <x:v>Sí</x:v>
      </x:c>
      <x:c r="T118" s="24"/>
      <x:c r="U118" s="17" t="str">
        <x:v>https://graph.microsoft.com/v1.0/me/drive/items/01DHXXN7YJMCJUVPBWNJEJPJIH7B4OTAUR#page=44</x:v>
      </x:c>
      <x:c r="V118" s="17" t="str">
        <x:v>https://graph.microsoft.com/v1.0/me/drive/items/01DHXXN7YJMCJUVPBWNJEJPJIH7B4OTAUR</x:v>
      </x:c>
      <x:c r="W118" s="17" t="str">
        <x:v>749ca7c9debfa3b8b74aa298c7793a9ceb9d5087e6a4f1883cd83527809d4984</x:v>
      </x:c>
      <x:c r="X118" s="17" t="str">
        <x:v>SKU no publicado; se conserva una identidad técnica estable.</x:v>
      </x:c>
    </x:row>
    <x:row r="119" ht="34" customHeight="1">
      <x:c r="A119" s="17" t="str">
        <x:v>IDÉLIKA</x:v>
      </x:c>
      <x:c r="B119" s="17" t="str">
        <x:v>Fabricacion</x:v>
      </x:c>
      <x:c r="C119" s="17" t="str">
        <x:v>1 CATALOGO FABRICACION 2026B.pdf</x:v>
      </x:c>
      <x:c r="D119" s="21" t="n">
        <x:v>44</x:v>
      </x:c>
      <x:c r="E119" s="17" t="str">
        <x:v>idelika:fabricacion:sin-sku:d34a0b8cb373ac614a2d</x:v>
      </x:c>
      <x:c r="F119" s="17"/>
      <x:c r="G119" s="22" t="str">
        <x:v>por_verificar</x:v>
      </x:c>
      <x:c r="H119" s="17" t="str">
        <x:v>Jalisco columpio</x:v>
      </x:c>
      <x:c r="I119" s="17"/>
      <x:c r="J119" s="17" t="str">
        <x:v>exterior techado</x:v>
      </x:c>
      <x:c r="K119" s="17" t="str">
        <x:v>Acero con pintura electroestática Cuerda de multifilamento y tela</x:v>
      </x:c>
      <x:c r="L119" s="17" t="str">
        <x:v>Fabricación 45*62*40</x:v>
      </x:c>
      <x:c r="M119" s="17" t="str">
        <x:v>Acero con pintura electroestática Cuerda de multifilamento y tela San Miguel</x:v>
      </x:c>
      <x:c r="N119" s="22" t="str">
        <x:v>pieza</x:v>
      </x:c>
      <x:c r="O119" s="23" t="n">
        <x:v>2699</x:v>
      </x:c>
      <x:c r="P119" s="23" t="n">
        <x:v>2999</x:v>
      </x:c>
      <x:c r="Q119" s="17" t="str">
        <x:v>$2,999 – $2,699 exterior techado</x:v>
      </x:c>
      <x:c r="R119" s="22" t="str">
        <x:v>confirmado</x:v>
      </x:c>
      <x:c r="S119" s="22" t="str">
        <x:v>Sí</x:v>
      </x:c>
      <x:c r="T119" s="24"/>
      <x:c r="U119" s="17" t="str">
        <x:v>https://graph.microsoft.com/v1.0/me/drive/items/01DHXXN7YJMCJUVPBWNJEJPJIH7B4OTAUR#page=44</x:v>
      </x:c>
      <x:c r="V119" s="17" t="str">
        <x:v>https://graph.microsoft.com/v1.0/me/drive/items/01DHXXN7YJMCJUVPBWNJEJPJIH7B4OTAUR</x:v>
      </x:c>
      <x:c r="W119" s="17" t="str">
        <x:v>d34a0b8cb373ac614a2d7089d49f9384247f0b1d36c1e17c8564c8e8f8159f68</x:v>
      </x:c>
      <x:c r="X119" s="17" t="str">
        <x:v>SKU no publicado; se conserva una identidad técnica estable.</x:v>
      </x:c>
    </x:row>
    <x:row r="120" ht="34" customHeight="1">
      <x:c r="A120" s="17" t="str">
        <x:v>IDÉLIKA</x:v>
      </x:c>
      <x:c r="B120" s="17" t="str">
        <x:v>Fabricacion</x:v>
      </x:c>
      <x:c r="C120" s="17" t="str">
        <x:v>1 CATALOGO FABRICACION 2026B.pdf</x:v>
      </x:c>
      <x:c r="D120" s="21" t="n">
        <x:v>44</x:v>
      </x:c>
      <x:c r="E120" s="17" t="str">
        <x:v>idelika:fabricacion:sin-sku:c85884f71f162d44e4c8</x:v>
      </x:c>
      <x:c r="F120" s="17"/>
      <x:c r="G120" s="22" t="str">
        <x:v>por_verificar</x:v>
      </x:c>
      <x:c r="H120" s="17" t="str">
        <x:v>Jalisco columpio</x:v>
      </x:c>
      <x:c r="I120" s="17"/>
      <x:c r="J120" s="17" t="str">
        <x:v>exterior techado</x:v>
      </x:c>
      <x:c r="K120" s="17" t="str">
        <x:v>Acero con pintura electroestática Cuerda de multifilamento y tela</x:v>
      </x:c>
      <x:c r="L120" s="17" t="str">
        <x:v>Fabricación 55*55*80</x:v>
      </x:c>
      <x:c r="M120" s="17" t="str">
        <x:v>Acero con pintura electroestática Cuerda de multifilamento y tela San Miguel</x:v>
      </x:c>
      <x:c r="N120" s="22" t="str">
        <x:v>pieza</x:v>
      </x:c>
      <x:c r="O120" s="23" t="n">
        <x:v>3299</x:v>
      </x:c>
      <x:c r="P120" s="23" t="n">
        <x:v>3999</x:v>
      </x:c>
      <x:c r="Q120" s="17" t="str">
        <x:v>$3,999 – $3,299 exterior techado</x:v>
      </x:c>
      <x:c r="R120" s="22" t="str">
        <x:v>confirmado</x:v>
      </x:c>
      <x:c r="S120" s="22" t="str">
        <x:v>Sí</x:v>
      </x:c>
      <x:c r="T120" s="24"/>
      <x:c r="U120" s="17" t="str">
        <x:v>https://graph.microsoft.com/v1.0/me/drive/items/01DHXXN7YJMCJUVPBWNJEJPJIH7B4OTAUR#page=44</x:v>
      </x:c>
      <x:c r="V120" s="17" t="str">
        <x:v>https://graph.microsoft.com/v1.0/me/drive/items/01DHXXN7YJMCJUVPBWNJEJPJIH7B4OTAUR</x:v>
      </x:c>
      <x:c r="W120" s="17" t="str">
        <x:v>c85884f71f162d44e4c816b6553a5c8fedad1ade9078e0065e27562c228a05f0</x:v>
      </x:c>
      <x:c r="X120" s="17" t="str">
        <x:v>SKU no publicado; se conserva una identidad técnica estable.</x:v>
      </x:c>
    </x:row>
    <x:row r="121" ht="34" customHeight="1">
      <x:c r="A121" s="17" t="str">
        <x:v>IDÉLIKA</x:v>
      </x:c>
      <x:c r="B121" s="17" t="str">
        <x:v>Fabricacion</x:v>
      </x:c>
      <x:c r="C121" s="17" t="str">
        <x:v>1 CATALOGO FABRICACION 2026B.pdf</x:v>
      </x:c>
      <x:c r="D121" s="21" t="n">
        <x:v>44</x:v>
      </x:c>
      <x:c r="E121" s="17" t="str">
        <x:v>idelika:fabricacion:sin-sku:eb4b9720bb5ee8b94e11</x:v>
      </x:c>
      <x:c r="F121" s="17"/>
      <x:c r="G121" s="22" t="str">
        <x:v>por_verificar</x:v>
      </x:c>
      <x:c r="H121" s="17" t="str">
        <x:v>Jalisco columpio</x:v>
      </x:c>
      <x:c r="I121" s="17"/>
      <x:c r="J121" s="17" t="str">
        <x:v>exterior 100%</x:v>
      </x:c>
      <x:c r="K121" s="17" t="str">
        <x:v>Acero con pintura electroestática Cuerda de multifilamento y tela</x:v>
      </x:c>
      <x:c r="L121" s="17"/>
      <x:c r="M121" s="17" t="str">
        <x:v>Acero con pintura electroestática Cuerda de multifilamento y tela San Miguel</x:v>
      </x:c>
      <x:c r="N121" s="22" t="str">
        <x:v>pieza</x:v>
      </x:c>
      <x:c r="O121" s="23" t="n">
        <x:v>3999</x:v>
      </x:c>
      <x:c r="P121" s="23" t="n">
        <x:v>4699</x:v>
      </x:c>
      <x:c r="Q121" s="17" t="str">
        <x:v>$4,699 – $3,999 exterior 100%</x:v>
      </x:c>
      <x:c r="R121" s="22" t="str">
        <x:v>confirmado</x:v>
      </x:c>
      <x:c r="S121" s="22" t="str">
        <x:v>Sí</x:v>
      </x:c>
      <x:c r="T121" s="24"/>
      <x:c r="U121" s="17" t="str">
        <x:v>https://graph.microsoft.com/v1.0/me/drive/items/01DHXXN7YJMCJUVPBWNJEJPJIH7B4OTAUR#page=44</x:v>
      </x:c>
      <x:c r="V121" s="17" t="str">
        <x:v>https://graph.microsoft.com/v1.0/me/drive/items/01DHXXN7YJMCJUVPBWNJEJPJIH7B4OTAUR</x:v>
      </x:c>
      <x:c r="W121" s="17" t="str">
        <x:v>eb4b9720bb5ee8b94e118bba9a2682d2c369ab44433957ee77febe31cd117eff</x:v>
      </x:c>
      <x:c r="X121" s="17" t="str">
        <x:v>SKU no publicado; se conserva una identidad técnica estable.</x:v>
      </x:c>
    </x:row>
    <x:row r="122" ht="34" customHeight="1">
      <x:c r="A122" s="17" t="str">
        <x:v>IDÉLIKA</x:v>
      </x:c>
      <x:c r="B122" s="17" t="str">
        <x:v>Fabricacion</x:v>
      </x:c>
      <x:c r="C122" s="17" t="str">
        <x:v>1 CATALOGO FABRICACION 2026B.pdf</x:v>
      </x:c>
      <x:c r="D122" s="21" t="n">
        <x:v>45</x:v>
      </x:c>
      <x:c r="E122" s="17" t="str">
        <x:v>idelika:fabricacion:sin-sku:edd50146d61589b95693</x:v>
      </x:c>
      <x:c r="F122" s="17"/>
      <x:c r="G122" s="22" t="str">
        <x:v>por_verificar</x:v>
      </x:c>
      <x:c r="H122" s="17" t="str">
        <x:v>Colima silla</x:v>
      </x:c>
      <x:c r="I122" s="17"/>
      <x:c r="J122" s="17" t="str">
        <x:v>exterior techado</x:v>
      </x:c>
      <x:c r="K122" s="17" t="str">
        <x:v>Acero con pintura electroestática cuerda de multifilamento</x:v>
      </x:c>
      <x:c r="L122" s="17" t="str">
        <x:v>Fabricación 59*50*82</x:v>
      </x:c>
      <x:c r="M122" s="17" t="str">
        <x:v>Acero con pintura electroestática cuerda de multifilamento</x:v>
      </x:c>
      <x:c r="N122" s="22" t="str">
        <x:v>pieza</x:v>
      </x:c>
      <x:c r="O122" s="23" t="n">
        <x:v>6990</x:v>
      </x:c>
      <x:c r="P122" s="23" t="n">
        <x:v>7599</x:v>
      </x:c>
      <x:c r="Q122" s="17" t="str">
        <x:v>$7,599 – $6,990 exterior techado</x:v>
      </x:c>
      <x:c r="R122" s="22" t="str">
        <x:v>confirmado</x:v>
      </x:c>
      <x:c r="S122" s="22" t="str">
        <x:v>Sí</x:v>
      </x:c>
      <x:c r="T122" s="24"/>
      <x:c r="U122" s="17" t="str">
        <x:v>https://graph.microsoft.com/v1.0/me/drive/items/01DHXXN7YJMCJUVPBWNJEJPJIH7B4OTAUR#page=45</x:v>
      </x:c>
      <x:c r="V122" s="17" t="str">
        <x:v>https://graph.microsoft.com/v1.0/me/drive/items/01DHXXN7YJMCJUVPBWNJEJPJIH7B4OTAUR</x:v>
      </x:c>
      <x:c r="W122" s="17" t="str">
        <x:v>edd50146d61589b95693a7acdde6b1993a25a2134794ef370ff045cb2b297337</x:v>
      </x:c>
      <x:c r="X122" s="17" t="str">
        <x:v>SKU no publicado; se conserva una identidad técnica estable.</x:v>
      </x:c>
    </x:row>
    <x:row r="123" ht="34" customHeight="1">
      <x:c r="A123" s="17" t="str">
        <x:v>IDÉLIKA</x:v>
      </x:c>
      <x:c r="B123" s="17" t="str">
        <x:v>Fabricacion</x:v>
      </x:c>
      <x:c r="C123" s="17" t="str">
        <x:v>1 CATALOGO FABRICACION 2026B.pdf</x:v>
      </x:c>
      <x:c r="D123" s="21" t="n">
        <x:v>45</x:v>
      </x:c>
      <x:c r="E123" s="17" t="str">
        <x:v>idelika:fabricacion:sin-sku:086a4281c810fa5501b2</x:v>
      </x:c>
      <x:c r="F123" s="17"/>
      <x:c r="G123" s="22" t="str">
        <x:v>por_verificar</x:v>
      </x:c>
      <x:c r="H123" s="17" t="str">
        <x:v>Mayan banco y silla</x:v>
      </x:c>
      <x:c r="I123" s="17"/>
      <x:c r="J123" s="17" t="str">
        <x:v>banco</x:v>
      </x:c>
      <x:c r="K123" s="17" t="str">
        <x:v>Acero y cuerda</x:v>
      </x:c>
      <x:c r="L123" s="17" t="str">
        <x:v>Fabricación 35*35*96 banco *76 silñla</x:v>
      </x:c>
      <x:c r="M123" s="17" t="str">
        <x:v>Acero y cuerda</x:v>
      </x:c>
      <x:c r="N123" s="22" t="str">
        <x:v>pieza</x:v>
      </x:c>
      <x:c r="O123" s="23" t="n">
        <x:v>1799</x:v>
      </x:c>
      <x:c r="P123" s="23" t="n">
        <x:v>1999</x:v>
      </x:c>
      <x:c r="Q123" s="17" t="str">
        <x:v>$1,999 – $1,799 banco</x:v>
      </x:c>
      <x:c r="R123" s="22" t="str">
        <x:v>confirmado</x:v>
      </x:c>
      <x:c r="S123" s="22" t="str">
        <x:v>Sí</x:v>
      </x:c>
      <x:c r="T123" s="24"/>
      <x:c r="U123" s="17" t="str">
        <x:v>https://graph.microsoft.com/v1.0/me/drive/items/01DHXXN7YJMCJUVPBWNJEJPJIH7B4OTAUR#page=45</x:v>
      </x:c>
      <x:c r="V123" s="17" t="str">
        <x:v>https://graph.microsoft.com/v1.0/me/drive/items/01DHXXN7YJMCJUVPBWNJEJPJIH7B4OTAUR</x:v>
      </x:c>
      <x:c r="W123" s="17" t="str">
        <x:v>086a4281c810fa5501b25586d4c3d4944881da2e2296d6871019587a436e38a7</x:v>
      </x:c>
      <x:c r="X123" s="17" t="str">
        <x:v>SKU no publicado; se conserva una identidad técnica estable.</x:v>
      </x:c>
    </x:row>
    <x:row r="124" ht="34" customHeight="1">
      <x:c r="A124" s="17" t="str">
        <x:v>IDÉLIKA</x:v>
      </x:c>
      <x:c r="B124" s="17" t="str">
        <x:v>Fabricacion</x:v>
      </x:c>
      <x:c r="C124" s="17" t="str">
        <x:v>1 CATALOGO FABRICACION 2026B.pdf</x:v>
      </x:c>
      <x:c r="D124" s="21" t="n">
        <x:v>45</x:v>
      </x:c>
      <x:c r="E124" s="17" t="str">
        <x:v>idelika:fabricacion:sin-sku:c890bbdda73b0d68e229</x:v>
      </x:c>
      <x:c r="F124" s="17"/>
      <x:c r="G124" s="22" t="str">
        <x:v>por_verificar</x:v>
      </x:c>
      <x:c r="H124" s="17" t="str">
        <x:v>Mayan banco y silla</x:v>
      </x:c>
      <x:c r="I124" s="17"/>
      <x:c r="J124" s="17" t="str">
        <x:v>silla</x:v>
      </x:c>
      <x:c r="K124" s="17" t="str">
        <x:v>Acero y cuerda</x:v>
      </x:c>
      <x:c r="L124" s="17"/>
      <x:c r="M124" s="17" t="str">
        <x:v>Acero y cuerda</x:v>
      </x:c>
      <x:c r="N124" s="22" t="str">
        <x:v>pieza</x:v>
      </x:c>
      <x:c r="O124" s="23" t="n">
        <x:v>1499</x:v>
      </x:c>
      <x:c r="P124" s="23" t="n">
        <x:v>1799</x:v>
      </x:c>
      <x:c r="Q124" s="17" t="str">
        <x:v>$1,799 – $1,499 silla</x:v>
      </x:c>
      <x:c r="R124" s="22" t="str">
        <x:v>confirmado</x:v>
      </x:c>
      <x:c r="S124" s="22" t="str">
        <x:v>Sí</x:v>
      </x:c>
      <x:c r="T124" s="24"/>
      <x:c r="U124" s="17" t="str">
        <x:v>https://graph.microsoft.com/v1.0/me/drive/items/01DHXXN7YJMCJUVPBWNJEJPJIH7B4OTAUR#page=45</x:v>
      </x:c>
      <x:c r="V124" s="17" t="str">
        <x:v>https://graph.microsoft.com/v1.0/me/drive/items/01DHXXN7YJMCJUVPBWNJEJPJIH7B4OTAUR</x:v>
      </x:c>
      <x:c r="W124" s="17" t="str">
        <x:v>c890bbdda73b0d68e2299e8177d6ad2002c0ce72d02b5aa30b4ca0eeb1f0b59c</x:v>
      </x:c>
      <x:c r="X124" s="17" t="str">
        <x:v>SKU no publicado; se conserva una identidad técnica estable.</x:v>
      </x:c>
    </x:row>
    <x:row r="125" ht="34" customHeight="1">
      <x:c r="A125" s="17" t="str">
        <x:v>IDÉLIKA</x:v>
      </x:c>
      <x:c r="B125" s="17" t="str">
        <x:v>Fabricacion</x:v>
      </x:c>
      <x:c r="C125" s="17" t="str">
        <x:v>1 CATALOGO FABRICACION 2026B.pdf</x:v>
      </x:c>
      <x:c r="D125" s="21" t="n">
        <x:v>45</x:v>
      </x:c>
      <x:c r="E125" s="17" t="str">
        <x:v>idelika:fabricacion:sin-sku:fb28b288dc700983875f</x:v>
      </x:c>
      <x:c r="F125" s="17"/>
      <x:c r="G125" s="22" t="str">
        <x:v>por_verificar</x:v>
      </x:c>
      <x:c r="H125" s="17" t="str">
        <x:v>Caleta silla (pedido mínimo 20 pzs.)</x:v>
      </x:c>
      <x:c r="I125" s="17"/>
      <x:c r="J125" s="17"/>
      <x:c r="K125" s="17" t="str">
        <x:v>Acero galvanizado con pvc</x:v>
      </x:c>
      <x:c r="L125" s="17" t="str">
        <x:v>Fabricación 45*55*80</x:v>
      </x:c>
      <x:c r="M125" s="17" t="str">
        <x:v>Acero galvanizado con pvc</x:v>
      </x:c>
      <x:c r="N125" s="22" t="str">
        <x:v>pieza</x:v>
      </x:c>
      <x:c r="O125" s="23" t="n">
        <x:v>1999</x:v>
      </x:c>
      <x:c r="P125" s="23" t="n">
        <x:v>2399</x:v>
      </x:c>
      <x:c r="Q125" s="17" t="str">
        <x:v>$2,399 - $1,999</x:v>
      </x:c>
      <x:c r="R125" s="22" t="str">
        <x:v>confirmado</x:v>
      </x:c>
      <x:c r="S125" s="22" t="str">
        <x:v>Sí</x:v>
      </x:c>
      <x:c r="T125" s="24"/>
      <x:c r="U125" s="17" t="str">
        <x:v>https://graph.microsoft.com/v1.0/me/drive/items/01DHXXN7YJMCJUVPBWNJEJPJIH7B4OTAUR#page=45</x:v>
      </x:c>
      <x:c r="V125" s="17" t="str">
        <x:v>https://graph.microsoft.com/v1.0/me/drive/items/01DHXXN7YJMCJUVPBWNJEJPJIH7B4OTAUR</x:v>
      </x:c>
      <x:c r="W125" s="17" t="str">
        <x:v>fb28b288dc700983875f85a9643ccce7f86adf36f8852c646f0c5f0b00c6e5c5</x:v>
      </x:c>
      <x:c r="X125" s="17" t="str">
        <x:v>SKU no publicado; se conserva una identidad técnica estable.</x:v>
      </x:c>
    </x:row>
    <x:row r="126" ht="34" customHeight="1">
      <x:c r="A126" s="17" t="str">
        <x:v>IDÉLIKA</x:v>
      </x:c>
      <x:c r="B126" s="17" t="str">
        <x:v>Fabricacion</x:v>
      </x:c>
      <x:c r="C126" s="17" t="str">
        <x:v>1 CATALOGO FABRICACION 2026B.pdf</x:v>
      </x:c>
      <x:c r="D126" s="21" t="n">
        <x:v>46</x:v>
      </x:c>
      <x:c r="E126" s="17" t="str">
        <x:v>idelika:fabricacion:sin-sku:fcd8f8edf459d6794c59</x:v>
      </x:c>
      <x:c r="F126" s="17"/>
      <x:c r="G126" s="22" t="str">
        <x:v>por_verificar</x:v>
      </x:c>
      <x:c r="H126" s="17" t="str">
        <x:v>Zihuatanejo silla</x:v>
      </x:c>
      <x:c r="I126" s="17" t="str">
        <x:v>Xpu-ha</x:v>
      </x:c>
      <x:c r="J126" s="17" t="str">
        <x:v>exterior techado</x:v>
      </x:c>
      <x:c r="K126" s="17" t="str">
        <x:v>Acero con pintura electroestática cuerda de multifilamento</x:v>
      </x:c>
      <x:c r="L126" s="17" t="str">
        <x:v>Fabricación 46*66*81</x:v>
      </x:c>
      <x:c r="M126" s="17" t="str">
        <x:v>Acero con pintura electroestática cuerda de multifilamento</x:v>
      </x:c>
      <x:c r="N126" s="22" t="str">
        <x:v>pieza</x:v>
      </x:c>
      <x:c r="O126" s="23" t="n">
        <x:v>4699</x:v>
      </x:c>
      <x:c r="P126" s="23" t="n">
        <x:v>4999</x:v>
      </x:c>
      <x:c r="Q126" s="17" t="str">
        <x:v>$4,999 – $4,699 exterior techado</x:v>
      </x:c>
      <x:c r="R126" s="22" t="str">
        <x:v>confirmado</x:v>
      </x:c>
      <x:c r="S126" s="22" t="str">
        <x:v>Sí</x:v>
      </x:c>
      <x:c r="T126" s="24"/>
      <x:c r="U126" s="17" t="str">
        <x:v>https://graph.microsoft.com/v1.0/me/drive/items/01DHXXN7YJMCJUVPBWNJEJPJIH7B4OTAUR#page=46</x:v>
      </x:c>
      <x:c r="V126" s="17" t="str">
        <x:v>https://graph.microsoft.com/v1.0/me/drive/items/01DHXXN7YJMCJUVPBWNJEJPJIH7B4OTAUR</x:v>
      </x:c>
      <x:c r="W126" s="17" t="str">
        <x:v>fcd8f8edf459d6794c5940e6906c2784a08341ab95ada8cb4ae726ad86909307</x:v>
      </x:c>
      <x:c r="X126" s="17" t="str">
        <x:v>SKU no publicado; se conserva una identidad técnica estable.</x:v>
      </x:c>
    </x:row>
    <x:row r="127" ht="34" customHeight="1">
      <x:c r="A127" s="17" t="str">
        <x:v>IDÉLIKA</x:v>
      </x:c>
      <x:c r="B127" s="17" t="str">
        <x:v>Fabricacion</x:v>
      </x:c>
      <x:c r="C127" s="17" t="str">
        <x:v>1 CATALOGO FABRICACION 2026B.pdf</x:v>
      </x:c>
      <x:c r="D127" s="21" t="n">
        <x:v>46</x:v>
      </x:c>
      <x:c r="E127" s="17" t="str">
        <x:v>idelika:fabricacion:sin-sku:aafd4f6edc2f5245dc11</x:v>
      </x:c>
      <x:c r="F127" s="17"/>
      <x:c r="G127" s="22" t="str">
        <x:v>por_verificar</x:v>
      </x:c>
      <x:c r="H127" s="17" t="str">
        <x:v>Mixtlán silla</x:v>
      </x:c>
      <x:c r="I127" s="17" t="str">
        <x:v>Xpu-ha</x:v>
      </x:c>
      <x:c r="J127" s="17" t="str">
        <x:v>exterior techado</x:v>
      </x:c>
      <x:c r="K127" s="17" t="str">
        <x:v>Acero con pintura electroestática cuerda de multifilamento</x:v>
      </x:c>
      <x:c r="L127" s="17" t="str">
        <x:v>Fabricación 46*66*81</x:v>
      </x:c>
      <x:c r="M127" s="17" t="str">
        <x:v>Acero con pintura electroestática cuerda de multifilamento</x:v>
      </x:c>
      <x:c r="N127" s="22" t="str">
        <x:v>pieza</x:v>
      </x:c>
      <x:c r="O127" s="23" t="n">
        <x:v>2999</x:v>
      </x:c>
      <x:c r="P127" s="23" t="n">
        <x:v>3399</x:v>
      </x:c>
      <x:c r="Q127" s="17" t="str">
        <x:v>$3,399 – $2,999 exterior techado</x:v>
      </x:c>
      <x:c r="R127" s="22" t="str">
        <x:v>confirmado</x:v>
      </x:c>
      <x:c r="S127" s="22" t="str">
        <x:v>Sí</x:v>
      </x:c>
      <x:c r="T127" s="24"/>
      <x:c r="U127" s="17" t="str">
        <x:v>https://graph.microsoft.com/v1.0/me/drive/items/01DHXXN7YJMCJUVPBWNJEJPJIH7B4OTAUR#page=46</x:v>
      </x:c>
      <x:c r="V127" s="17" t="str">
        <x:v>https://graph.microsoft.com/v1.0/me/drive/items/01DHXXN7YJMCJUVPBWNJEJPJIH7B4OTAUR</x:v>
      </x:c>
      <x:c r="W127" s="17" t="str">
        <x:v>aafd4f6edc2f5245dc11b95d22c17fd57431ea2916ffbb86e7a9d6fddcd877cb</x:v>
      </x:c>
      <x:c r="X127" s="17" t="str">
        <x:v>SKU no publicado; se conserva una identidad técnica estable.</x:v>
      </x:c>
    </x:row>
    <x:row r="128" ht="34" customHeight="1">
      <x:c r="A128" s="17" t="str">
        <x:v>IDÉLIKA</x:v>
      </x:c>
      <x:c r="B128" s="17" t="str">
        <x:v>Fabricacion</x:v>
      </x:c>
      <x:c r="C128" s="17" t="str">
        <x:v>1 CATALOGO FABRICACION 2026B.pdf</x:v>
      </x:c>
      <x:c r="D128" s="21" t="n">
        <x:v>46</x:v>
      </x:c>
      <x:c r="E128" s="17" t="str">
        <x:v>idelika:fabricacion:sin-sku:83190f0cc6cba232d187</x:v>
      </x:c>
      <x:c r="F128" s="17"/>
      <x:c r="G128" s="22" t="str">
        <x:v>por_verificar</x:v>
      </x:c>
      <x:c r="H128" s="17" t="str">
        <x:v>Chapala silla</x:v>
      </x:c>
      <x:c r="I128" s="17" t="str">
        <x:v>Xpu-ha</x:v>
      </x:c>
      <x:c r="J128" s="17" t="str">
        <x:v>exterior techado</x:v>
      </x:c>
      <x:c r="K128" s="17" t="str">
        <x:v>Acero con pintura electroestática cuerda de multifilamento y tela</x:v>
      </x:c>
      <x:c r="L128" s="17" t="str">
        <x:v>Fabricación 54*53*83 alto</x:v>
      </x:c>
      <x:c r="M128" s="17" t="str">
        <x:v>Acero con pintura electroestática cuerda de multifilamento y tela</x:v>
      </x:c>
      <x:c r="N128" s="22" t="str">
        <x:v>pieza</x:v>
      </x:c>
      <x:c r="O128" s="23" t="n">
        <x:v>2999</x:v>
      </x:c>
      <x:c r="P128" s="23" t="n">
        <x:v>3490</x:v>
      </x:c>
      <x:c r="Q128" s="17" t="str">
        <x:v>$3,490 – $2,999 exterior techado</x:v>
      </x:c>
      <x:c r="R128" s="22" t="str">
        <x:v>confirmado</x:v>
      </x:c>
      <x:c r="S128" s="22" t="str">
        <x:v>Sí</x:v>
      </x:c>
      <x:c r="T128" s="24"/>
      <x:c r="U128" s="17" t="str">
        <x:v>https://graph.microsoft.com/v1.0/me/drive/items/01DHXXN7YJMCJUVPBWNJEJPJIH7B4OTAUR#page=46</x:v>
      </x:c>
      <x:c r="V128" s="17" t="str">
        <x:v>https://graph.microsoft.com/v1.0/me/drive/items/01DHXXN7YJMCJUVPBWNJEJPJIH7B4OTAUR</x:v>
      </x:c>
      <x:c r="W128" s="17" t="str">
        <x:v>83190f0cc6cba232d187932636c6346f6e40836b9b378bba9374e52c183e405d</x:v>
      </x:c>
      <x:c r="X128" s="17" t="str">
        <x:v>SKU no publicado; se conserva una identidad técnica estable.</x:v>
      </x:c>
    </x:row>
    <x:row r="129" ht="34" customHeight="1">
      <x:c r="A129" s="17" t="str">
        <x:v>IDÉLIKA</x:v>
      </x:c>
      <x:c r="B129" s="17" t="str">
        <x:v>Fabricacion</x:v>
      </x:c>
      <x:c r="C129" s="17" t="str">
        <x:v>1 CATALOGO FABRICACION 2026B.pdf</x:v>
      </x:c>
      <x:c r="D129" s="21" t="n">
        <x:v>46</x:v>
      </x:c>
      <x:c r="E129" s="17" t="str">
        <x:v>idelika:fabricacion:sin-sku:c5b75f955d72bfc3212b</x:v>
      </x:c>
      <x:c r="F129" s="17"/>
      <x:c r="G129" s="22" t="str">
        <x:v>por_verificar</x:v>
      </x:c>
      <x:c r="H129" s="17" t="str">
        <x:v>Mérida silla</x:v>
      </x:c>
      <x:c r="I129" s="17" t="str">
        <x:v>Xpu-ha</x:v>
      </x:c>
      <x:c r="J129" s="17" t="str">
        <x:v>exterior techado</x:v>
      </x:c>
      <x:c r="K129" s="17" t="str">
        <x:v>Acero con pintura electroestática cuerda de multifilamento y tela Majahuitas silla acero Acero con pintura electroestática</x:v>
      </x:c>
      <x:c r="L129" s="17" t="str">
        <x:v>Fabricación 55*62*80 alto</x:v>
      </x:c>
      <x:c r="M129" s="17" t="str">
        <x:v>Acero con pintura electroestática cuerda de multifilamento y tela Majahuitas silla acero Acero con pintura electroestática cuerda de multifilamento y tela Xalapa silla acero Acero con pintura electroestática cuerda de multifilamento y tela</x:v>
      </x:c>
      <x:c r="N129" s="22" t="str">
        <x:v>pieza</x:v>
      </x:c>
      <x:c r="O129" s="23" t="n">
        <x:v>3299</x:v>
      </x:c>
      <x:c r="P129" s="23" t="n">
        <x:v>3999</x:v>
      </x:c>
      <x:c r="Q129" s="17" t="str">
        <x:v>$3,999 – $3,299 exterior techado</x:v>
      </x:c>
      <x:c r="R129" s="22" t="str">
        <x:v>confirmado</x:v>
      </x:c>
      <x:c r="S129" s="22" t="str">
        <x:v>Sí</x:v>
      </x:c>
      <x:c r="T129" s="24"/>
      <x:c r="U129" s="17" t="str">
        <x:v>https://graph.microsoft.com/v1.0/me/drive/items/01DHXXN7YJMCJUVPBWNJEJPJIH7B4OTAUR#page=46</x:v>
      </x:c>
      <x:c r="V129" s="17" t="str">
        <x:v>https://graph.microsoft.com/v1.0/me/drive/items/01DHXXN7YJMCJUVPBWNJEJPJIH7B4OTAUR</x:v>
      </x:c>
      <x:c r="W129" s="17" t="str">
        <x:v>c5b75f955d72bfc3212bd258256c367dc8db51e26b3729be1a3b037ce6bd5746</x:v>
      </x:c>
      <x:c r="X129" s="17" t="str">
        <x:v>SKU no publicado; se conserva una identidad técnica estable.</x:v>
      </x:c>
    </x:row>
    <x:row r="130" ht="34" customHeight="1">
      <x:c r="A130" s="17" t="str">
        <x:v>IDÉLIKA</x:v>
      </x:c>
      <x:c r="B130" s="17" t="str">
        <x:v>Fabricacion</x:v>
      </x:c>
      <x:c r="C130" s="17" t="str">
        <x:v>1 CATALOGO FABRICACION 2026B.pdf</x:v>
      </x:c>
      <x:c r="D130" s="21" t="n">
        <x:v>46</x:v>
      </x:c>
      <x:c r="E130" s="17" t="str">
        <x:v>idelika:fabricacion:sin-sku:f2ac0f86084980c0433b</x:v>
      </x:c>
      <x:c r="F130" s="17"/>
      <x:c r="G130" s="22" t="str">
        <x:v>por_verificar</x:v>
      </x:c>
      <x:c r="H130" s="17" t="str">
        <x:v>Mérida silla</x:v>
      </x:c>
      <x:c r="I130" s="17" t="str">
        <x:v>Xpu-ha</x:v>
      </x:c>
      <x:c r="J130" s="17" t="str">
        <x:v>exterior techado</x:v>
      </x:c>
      <x:c r="K130" s="17" t="str">
        <x:v>Acero con pintura electroestática cuerda de multifilamento y tela Majahuitas silla acero Acero con pintura electroestática</x:v>
      </x:c>
      <x:c r="L130" s="17" t="str">
        <x:v>Fabricación 48*60*83 alto</x:v>
      </x:c>
      <x:c r="M130" s="17" t="str">
        <x:v>Acero con pintura electroestática cuerda de multifilamento y tela Majahuitas silla acero Acero con pintura electroestática cuerda de multifilamento y tela Xalapa silla acero Acero con pintura electroestática cuerda de multifilamento y tela</x:v>
      </x:c>
      <x:c r="N130" s="22" t="str">
        <x:v>pieza</x:v>
      </x:c>
      <x:c r="O130" s="23" t="n">
        <x:v>3999</x:v>
      </x:c>
      <x:c r="P130" s="23" t="n">
        <x:v>4499</x:v>
      </x:c>
      <x:c r="Q130" s="17" t="str">
        <x:v>$4,499 – $3,999 exterior techado</x:v>
      </x:c>
      <x:c r="R130" s="22" t="str">
        <x:v>confirmado</x:v>
      </x:c>
      <x:c r="S130" s="22" t="str">
        <x:v>Sí</x:v>
      </x:c>
      <x:c r="T130" s="24"/>
      <x:c r="U130" s="17" t="str">
        <x:v>https://graph.microsoft.com/v1.0/me/drive/items/01DHXXN7YJMCJUVPBWNJEJPJIH7B4OTAUR#page=46</x:v>
      </x:c>
      <x:c r="V130" s="17" t="str">
        <x:v>https://graph.microsoft.com/v1.0/me/drive/items/01DHXXN7YJMCJUVPBWNJEJPJIH7B4OTAUR</x:v>
      </x:c>
      <x:c r="W130" s="17" t="str">
        <x:v>f2ac0f86084980c0433b8805e78db78f04e37f37f2a7a262f1769172fa12476e</x:v>
      </x:c>
      <x:c r="X130" s="17" t="str">
        <x:v>SKU no publicado; se conserva una identidad técnica estable.</x:v>
      </x:c>
    </x:row>
    <x:row r="131" ht="34" customHeight="1">
      <x:c r="A131" s="17" t="str">
        <x:v>IDÉLIKA</x:v>
      </x:c>
      <x:c r="B131" s="17" t="str">
        <x:v>Fabricacion</x:v>
      </x:c>
      <x:c r="C131" s="17" t="str">
        <x:v>1 CATALOGO FABRICACION 2026B.pdf</x:v>
      </x:c>
      <x:c r="D131" s="21" t="n">
        <x:v>46</x:v>
      </x:c>
      <x:c r="E131" s="17" t="str">
        <x:v>idelika:fabricacion:sin-sku:7fb100f4380ce7220d63</x:v>
      </x:c>
      <x:c r="F131" s="17"/>
      <x:c r="G131" s="22" t="str">
        <x:v>por_verificar</x:v>
      </x:c>
      <x:c r="H131" s="17" t="str">
        <x:v>Mérida silla</x:v>
      </x:c>
      <x:c r="I131" s="17" t="str">
        <x:v>Xpu-ha</x:v>
      </x:c>
      <x:c r="J131" s="17" t="str">
        <x:v>exterior techado</x:v>
      </x:c>
      <x:c r="K131" s="17" t="str">
        <x:v>Acero con pintura electroestática cuerda de multifilamento y tela Majahuitas silla acero Acero con pintura electroestática</x:v>
      </x:c>
      <x:c r="L131" s="17" t="str">
        <x:v>Fabricación 58*45*85 alto</x:v>
      </x:c>
      <x:c r="M131" s="17" t="str">
        <x:v>Acero con pintura electroestática cuerda de multifilamento y tela Majahuitas silla acero Acero con pintura electroestática cuerda de multifilamento y tela Xalapa silla acero Acero con pintura electroestática cuerda de multifilamento y tela</x:v>
      </x:c>
      <x:c r="N131" s="22" t="str">
        <x:v>pieza</x:v>
      </x:c>
      <x:c r="O131" s="23" t="n">
        <x:v>2999</x:v>
      </x:c>
      <x:c r="P131" s="23" t="n">
        <x:v>3499</x:v>
      </x:c>
      <x:c r="Q131" s="17" t="str">
        <x:v>$3,499 – $2,999 exterior techado</x:v>
      </x:c>
      <x:c r="R131" s="22" t="str">
        <x:v>confirmado</x:v>
      </x:c>
      <x:c r="S131" s="22" t="str">
        <x:v>Sí</x:v>
      </x:c>
      <x:c r="T131" s="24"/>
      <x:c r="U131" s="17" t="str">
        <x:v>https://graph.microsoft.com/v1.0/me/drive/items/01DHXXN7YJMCJUVPBWNJEJPJIH7B4OTAUR#page=46</x:v>
      </x:c>
      <x:c r="V131" s="17" t="str">
        <x:v>https://graph.microsoft.com/v1.0/me/drive/items/01DHXXN7YJMCJUVPBWNJEJPJIH7B4OTAUR</x:v>
      </x:c>
      <x:c r="W131" s="17" t="str">
        <x:v>7fb100f4380ce7220d630ab4504e555607ef56344c242124556c3ca1f48e157c</x:v>
      </x:c>
      <x:c r="X131" s="17" t="str">
        <x:v>SKU no publicado; se conserva una identidad técnica estable.</x:v>
      </x:c>
    </x:row>
    <x:row r="132" ht="34" customHeight="1">
      <x:c r="A132" s="17" t="str">
        <x:v>IDÉLIKA</x:v>
      </x:c>
      <x:c r="B132" s="17" t="str">
        <x:v>Fabricacion</x:v>
      </x:c>
      <x:c r="C132" s="17" t="str">
        <x:v>1 CATALOGO FABRICACION 2026B.pdf</x:v>
      </x:c>
      <x:c r="D132" s="21" t="n">
        <x:v>47</x:v>
      </x:c>
      <x:c r="E132" s="17" t="str">
        <x:v>idelika:fabricacion:sin-sku:0df43a7c0290d66e70ce</x:v>
      </x:c>
      <x:c r="F132" s="17"/>
      <x:c r="G132" s="22" t="str">
        <x:v>por_verificar</x:v>
      </x:c>
      <x:c r="H132" s="17" t="str">
        <x:v>Tuxcueca banco</x:v>
      </x:c>
      <x:c r="I132" s="17"/>
      <x:c r="J132" s="17" t="str">
        <x:v>exterior techado</x:v>
      </x:c>
      <x:c r="K132" s="17" t="str">
        <x:v>Acero con pintura electroestática cuerda de multifilamento y tela Acero galvanizado cuerda textilene y loneta de exterior</x:v>
      </x:c>
      <x:c r="L132" s="17" t="str">
        <x:v>42*58*101 alto</x:v>
      </x:c>
      <x:c r="M132" s="17" t="str">
        <x:v>42*58*101 alto Acero con pintura electroestática cuerda de multifilamento y tela Acero galvanizado con pintura electroestática cuerda textilene y loneta de exterior</x:v>
      </x:c>
      <x:c r="N132" s="22" t="str">
        <x:v>pieza</x:v>
      </x:c>
      <x:c r="O132" s="23" t="n">
        <x:v>3299</x:v>
      </x:c>
      <x:c r="P132" s="23" t="n">
        <x:v>3599</x:v>
      </x:c>
      <x:c r="Q132" s="17" t="str">
        <x:v>$3,599 – $3,299 exterior techado</x:v>
      </x:c>
      <x:c r="R132" s="22" t="str">
        <x:v>confirmado</x:v>
      </x:c>
      <x:c r="S132" s="22" t="str">
        <x:v>Sí</x:v>
      </x:c>
      <x:c r="T132" s="24"/>
      <x:c r="U132" s="17" t="str">
        <x:v>https://graph.microsoft.com/v1.0/me/drive/items/01DHXXN7YJMCJUVPBWNJEJPJIH7B4OTAUR#page=47</x:v>
      </x:c>
      <x:c r="V132" s="17" t="str">
        <x:v>https://graph.microsoft.com/v1.0/me/drive/items/01DHXXN7YJMCJUVPBWNJEJPJIH7B4OTAUR</x:v>
      </x:c>
      <x:c r="W132" s="17" t="str">
        <x:v>0df43a7c0290d66e70cefef6ccf544bd59881c3268f47c02db546d59ddbed20c</x:v>
      </x:c>
      <x:c r="X132" s="17" t="str">
        <x:v>SKU no publicado; se conserva una identidad técnica estable.</x:v>
      </x:c>
    </x:row>
    <x:row r="133" ht="34" customHeight="1">
      <x:c r="A133" s="17" t="str">
        <x:v>IDÉLIKA</x:v>
      </x:c>
      <x:c r="B133" s="17" t="str">
        <x:v>Fabricacion</x:v>
      </x:c>
      <x:c r="C133" s="17" t="str">
        <x:v>1 CATALOGO FABRICACION 2026B.pdf</x:v>
      </x:c>
      <x:c r="D133" s="21" t="n">
        <x:v>47</x:v>
      </x:c>
      <x:c r="E133" s="17" t="str">
        <x:v>idelika:fabricacion:sin-sku:86fa3b9a0fe06fb4d155</x:v>
      </x:c>
      <x:c r="F133" s="17"/>
      <x:c r="G133" s="22" t="str">
        <x:v>por_verificar</x:v>
      </x:c>
      <x:c r="H133" s="17" t="str">
        <x:v>Tuxcueca banco</x:v>
      </x:c>
      <x:c r="I133" s="17"/>
      <x:c r="J133" s="17" t="str">
        <x:v>exterior 100%</x:v>
      </x:c>
      <x:c r="K133" s="17" t="str">
        <x:v>Acero con pintura electroestática cuerda de multifilamento y tela Acero galvanizado cuerda textilene y loneta de exterior</x:v>
      </x:c>
      <x:c r="L133" s="17"/>
      <x:c r="M133" s="17" t="str">
        <x:v>42*58*101 alto Acero con pintura electroestática cuerda de multifilamento y tela Acero galvanizado con pintura electroestática cuerda textilene y loneta de exterior</x:v>
      </x:c>
      <x:c r="N133" s="22" t="str">
        <x:v>pieza</x:v>
      </x:c>
      <x:c r="O133" s="23" t="n">
        <x:v>3999</x:v>
      </x:c>
      <x:c r="P133" s="23" t="n">
        <x:v>4299</x:v>
      </x:c>
      <x:c r="Q133" s="17" t="str">
        <x:v>$4,299 – $3,999 exterior 100%</x:v>
      </x:c>
      <x:c r="R133" s="22" t="str">
        <x:v>confirmado</x:v>
      </x:c>
      <x:c r="S133" s="22" t="str">
        <x:v>Sí</x:v>
      </x:c>
      <x:c r="T133" s="24"/>
      <x:c r="U133" s="17" t="str">
        <x:v>https://graph.microsoft.com/v1.0/me/drive/items/01DHXXN7YJMCJUVPBWNJEJPJIH7B4OTAUR#page=47</x:v>
      </x:c>
      <x:c r="V133" s="17" t="str">
        <x:v>https://graph.microsoft.com/v1.0/me/drive/items/01DHXXN7YJMCJUVPBWNJEJPJIH7B4OTAUR</x:v>
      </x:c>
      <x:c r="W133" s="17" t="str">
        <x:v>86fa3b9a0fe06fb4d1559148a6b437dac3060457b587ef6e772acc75d9ce24ca</x:v>
      </x:c>
      <x:c r="X133" s="17" t="str">
        <x:v>SKU no publicado; se conserva una identidad técnica estable.</x:v>
      </x:c>
    </x:row>
    <x:row r="134" ht="34" customHeight="1">
      <x:c r="A134" s="17" t="str">
        <x:v>IDÉLIKA</x:v>
      </x:c>
      <x:c r="B134" s="17" t="str">
        <x:v>Fabricacion</x:v>
      </x:c>
      <x:c r="C134" s="17" t="str">
        <x:v>1 CATALOGO FABRICACION 2026B.pdf</x:v>
      </x:c>
      <x:c r="D134" s="21" t="n">
        <x:v>47</x:v>
      </x:c>
      <x:c r="E134" s="17" t="str">
        <x:v>idelika:fabricacion:sin-sku:9dcd63c095a8d199761c</x:v>
      </x:c>
      <x:c r="F134" s="17"/>
      <x:c r="G134" s="22" t="str">
        <x:v>por_verificar</x:v>
      </x:c>
      <x:c r="H134" s="17" t="str">
        <x:v>San Juan silla</x:v>
      </x:c>
      <x:c r="I134" s="17"/>
      <x:c r="J134" s="17" t="str">
        <x:v>exterior techado</x:v>
      </x:c>
      <x:c r="K134" s="17" t="str">
        <x:v>Acero con pintura electroestática cuerda de multifilamento y tela Acero galvanizado cuerda textilene y loneta de exterior</x:v>
      </x:c>
      <x:c r="L134" s="17" t="str">
        <x:v>46*66*81 alto</x:v>
      </x:c>
      <x:c r="M134" s="17" t="str">
        <x:v>46*66*81 alto Acero con pintura electroestática cuerda de multifilamento y tela Acero galvanizado cuerda textilene y loneta de exterior</x:v>
      </x:c>
      <x:c r="N134" s="22" t="str">
        <x:v>pieza</x:v>
      </x:c>
      <x:c r="O134" s="23" t="n">
        <x:v>2999</x:v>
      </x:c>
      <x:c r="P134" s="23" t="n">
        <x:v>3499</x:v>
      </x:c>
      <x:c r="Q134" s="17" t="str">
        <x:v>$3,499 – $2,999 exterior techado</x:v>
      </x:c>
      <x:c r="R134" s="22" t="str">
        <x:v>confirmado</x:v>
      </x:c>
      <x:c r="S134" s="22" t="str">
        <x:v>Sí</x:v>
      </x:c>
      <x:c r="T134" s="24"/>
      <x:c r="U134" s="17" t="str">
        <x:v>https://graph.microsoft.com/v1.0/me/drive/items/01DHXXN7YJMCJUVPBWNJEJPJIH7B4OTAUR#page=47</x:v>
      </x:c>
      <x:c r="V134" s="17" t="str">
        <x:v>https://graph.microsoft.com/v1.0/me/drive/items/01DHXXN7YJMCJUVPBWNJEJPJIH7B4OTAUR</x:v>
      </x:c>
      <x:c r="W134" s="17" t="str">
        <x:v>9dcd63c095a8d199761cdcb1e62386e6bfb05ee4645e952185799a0fb5fcc613</x:v>
      </x:c>
      <x:c r="X134" s="17" t="str">
        <x:v>SKU no publicado; se conserva una identidad técnica estable.</x:v>
      </x:c>
    </x:row>
    <x:row r="135" ht="34" customHeight="1">
      <x:c r="A135" s="17" t="str">
        <x:v>IDÉLIKA</x:v>
      </x:c>
      <x:c r="B135" s="17" t="str">
        <x:v>Fabricacion</x:v>
      </x:c>
      <x:c r="C135" s="17" t="str">
        <x:v>1 CATALOGO FABRICACION 2026B.pdf</x:v>
      </x:c>
      <x:c r="D135" s="21" t="n">
        <x:v>47</x:v>
      </x:c>
      <x:c r="E135" s="17" t="str">
        <x:v>idelika:fabricacion:sin-sku:4ba77b55a0f345a157b1</x:v>
      </x:c>
      <x:c r="F135" s="17"/>
      <x:c r="G135" s="22" t="str">
        <x:v>por_verificar</x:v>
      </x:c>
      <x:c r="H135" s="17" t="str">
        <x:v>San Juan silla</x:v>
      </x:c>
      <x:c r="I135" s="17"/>
      <x:c r="J135" s="17" t="str">
        <x:v>exterior 100%</x:v>
      </x:c>
      <x:c r="K135" s="17" t="str">
        <x:v>Acero con pintura electroestática cuerda de multifilamento y tela Acero galvanizado cuerda textilene y loneta de exterior</x:v>
      </x:c>
      <x:c r="L135" s="17"/>
      <x:c r="M135" s="17" t="str">
        <x:v>46*66*81 alto Acero con pintura electroestática cuerda de multifilamento y tela Acero galvanizado cuerda textilene y loneta de exterior</x:v>
      </x:c>
      <x:c r="N135" s="22" t="str">
        <x:v>pieza</x:v>
      </x:c>
      <x:c r="O135" s="23" t="n">
        <x:v>3599</x:v>
      </x:c>
      <x:c r="P135" s="23" t="n">
        <x:v>4199</x:v>
      </x:c>
      <x:c r="Q135" s="17" t="str">
        <x:v>$4,199 – $3,599 exterior 100%</x:v>
      </x:c>
      <x:c r="R135" s="22" t="str">
        <x:v>confirmado</x:v>
      </x:c>
      <x:c r="S135" s="22" t="str">
        <x:v>Sí</x:v>
      </x:c>
      <x:c r="T135" s="24"/>
      <x:c r="U135" s="17" t="str">
        <x:v>https://graph.microsoft.com/v1.0/me/drive/items/01DHXXN7YJMCJUVPBWNJEJPJIH7B4OTAUR#page=47</x:v>
      </x:c>
      <x:c r="V135" s="17" t="str">
        <x:v>https://graph.microsoft.com/v1.0/me/drive/items/01DHXXN7YJMCJUVPBWNJEJPJIH7B4OTAUR</x:v>
      </x:c>
      <x:c r="W135" s="17" t="str">
        <x:v>4ba77b55a0f345a157b1e4c6f5de8a10be9c4bceac644418b91b60ba34d2daad</x:v>
      </x:c>
      <x:c r="X135" s="17" t="str">
        <x:v>SKU no publicado; se conserva una identidad técnica estable.</x:v>
      </x:c>
    </x:row>
    <x:row r="136" ht="34" customHeight="1">
      <x:c r="A136" s="17" t="str">
        <x:v>IDÉLIKA</x:v>
      </x:c>
      <x:c r="B136" s="17" t="str">
        <x:v>Fabricacion</x:v>
      </x:c>
      <x:c r="C136" s="17" t="str">
        <x:v>1 CATALOGO FABRICACION 2026B.pdf</x:v>
      </x:c>
      <x:c r="D136" s="21" t="n">
        <x:v>47</x:v>
      </x:c>
      <x:c r="E136" s="17" t="str">
        <x:v>idelika:fabricacion:sin-sku:23fa1bf014acc28456f2</x:v>
      </x:c>
      <x:c r="F136" s="17"/>
      <x:c r="G136" s="22" t="str">
        <x:v>por_verificar</x:v>
      </x:c>
      <x:c r="H136" s="17" t="str">
        <x:v>Ajijic Silla</x:v>
      </x:c>
      <x:c r="I136" s="17"/>
      <x:c r="J136" s="17"/>
      <x:c r="K136" s="17" t="str">
        <x:v>Acero con pintura Y ratán sintético</x:v>
      </x:c>
      <x:c r="L136" s="17" t="str">
        <x:v>44*45*84</x:v>
      </x:c>
      <x:c r="M136" s="17" t="str">
        <x:v>Acero con pintura electroestática Y ratán sintético 44*45*84</x:v>
      </x:c>
      <x:c r="N136" s="22" t="str">
        <x:v>pieza</x:v>
      </x:c>
      <x:c r="O136" s="23" t="n">
        <x:v>3999</x:v>
      </x:c>
      <x:c r="P136" s="23" t="n">
        <x:v>4499</x:v>
      </x:c>
      <x:c r="Q136" s="17" t="str">
        <x:v>$4,499 – $3,999</x:v>
      </x:c>
      <x:c r="R136" s="22" t="str">
        <x:v>confirmado</x:v>
      </x:c>
      <x:c r="S136" s="22" t="str">
        <x:v>Sí</x:v>
      </x:c>
      <x:c r="T136" s="24"/>
      <x:c r="U136" s="17" t="str">
        <x:v>https://graph.microsoft.com/v1.0/me/drive/items/01DHXXN7YJMCJUVPBWNJEJPJIH7B4OTAUR#page=47</x:v>
      </x:c>
      <x:c r="V136" s="17" t="str">
        <x:v>https://graph.microsoft.com/v1.0/me/drive/items/01DHXXN7YJMCJUVPBWNJEJPJIH7B4OTAUR</x:v>
      </x:c>
      <x:c r="W136" s="17" t="str">
        <x:v>23fa1bf014acc28456f22813d2cb81ec329b78919b82770fa06215ba1f98ee95</x:v>
      </x:c>
      <x:c r="X136" s="17" t="str">
        <x:v>SKU no publicado; se conserva una identidad técnica estable.</x:v>
      </x:c>
    </x:row>
    <x:row r="137" ht="34" customHeight="1">
      <x:c r="A137" s="17" t="str">
        <x:v>IDÉLIKA</x:v>
      </x:c>
      <x:c r="B137" s="17" t="str">
        <x:v>Fabricacion</x:v>
      </x:c>
      <x:c r="C137" s="17" t="str">
        <x:v>1 CATALOGO FABRICACION 2026B.pdf</x:v>
      </x:c>
      <x:c r="D137" s="21" t="n">
        <x:v>48</x:v>
      </x:c>
      <x:c r="E137" s="17" t="str">
        <x:v>idelika:fabricacion:sin-sku:7c1b0b39a7036a248032</x:v>
      </x:c>
      <x:c r="F137" s="17"/>
      <x:c r="G137" s="22" t="str">
        <x:v>por_verificar</x:v>
      </x:c>
      <x:c r="H137" s="17" t="str">
        <x:v>Colección Tula</x:v>
      </x:c>
      <x:c r="I137" s="17" t="str">
        <x:v>Tula</x:v>
      </x:c>
      <x:c r="J137" s="17"/>
      <x:c r="K137" s="17"/>
      <x:c r="L137" s="17"/>
      <x:c r="M137" s="17" t="str">
        <x:v>Colección Tula</x:v>
      </x:c>
      <x:c r="N137" s="22" t="str">
        <x:v>pieza</x:v>
      </x:c>
      <x:c r="O137" s="23"/>
      <x:c r="P137" s="23"/>
      <x:c r="Q137" s="17"/>
      <x:c r="R137" s="22" t="str">
        <x:v>por_confirmar</x:v>
      </x:c>
      <x:c r="S137" s="22" t="str">
        <x:v>Sí</x:v>
      </x:c>
      <x:c r="T137" s="24"/>
      <x:c r="U137" s="17" t="str">
        <x:v>https://graph.microsoft.com/v1.0/me/drive/items/01DHXXN7YJMCJUVPBWNJEJPJIH7B4OTAUR#page=48</x:v>
      </x:c>
      <x:c r="V137" s="17" t="str">
        <x:v>https://graph.microsoft.com/v1.0/me/drive/items/01DHXXN7YJMCJUVPBWNJEJPJIH7B4OTAUR</x:v>
      </x:c>
      <x:c r="W137" s="17" t="str">
        <x:v>7c1b0b39a7036a248032c38b44566e040e349a9264dcc28e8275e309fdf68ae7</x:v>
      </x:c>
      <x:c r="X137" s="17" t="str">
        <x:v>SKU no publicado; se conserva una identidad técnica estable. Precio por confirmar.</x:v>
      </x:c>
    </x:row>
    <x:row r="138" ht="34" customHeight="1">
      <x:c r="A138" s="17" t="str">
        <x:v>IDÉLIKA</x:v>
      </x:c>
      <x:c r="B138" s="17" t="str">
        <x:v>Fabricacion</x:v>
      </x:c>
      <x:c r="C138" s="17" t="str">
        <x:v>1 CATALOGO FABRICACION 2026B.pdf</x:v>
      </x:c>
      <x:c r="D138" s="21" t="n">
        <x:v>49</x:v>
      </x:c>
      <x:c r="E138" s="17" t="str">
        <x:v>idelika:fabricacion:sin-sku:60dc8a002fb82ed1ee45</x:v>
      </x:c>
      <x:c r="F138" s="17"/>
      <x:c r="G138" s="22" t="str">
        <x:v>por_verificar</x:v>
      </x:c>
      <x:c r="H138" s="17" t="str">
        <x:v>Silla Bistro</x:v>
      </x:c>
      <x:c r="I138" s="17"/>
      <x:c r="J138" s="17"/>
      <x:c r="K138" s="17"/>
      <x:c r="L138" s="17"/>
      <x:c r="M138" s="17" t="str">
        <x:v>precio por proyecto</x:v>
      </x:c>
      <x:c r="N138" s="22" t="str">
        <x:v>pieza</x:v>
      </x:c>
      <x:c r="O138" s="23"/>
      <x:c r="P138" s="23"/>
      <x:c r="Q138" s="17" t="str">
        <x:v>precio por proyecto</x:v>
      </x:c>
      <x:c r="R138" s="22" t="str">
        <x:v>por_confirmar</x:v>
      </x:c>
      <x:c r="S138" s="22" t="str">
        <x:v>Sí</x:v>
      </x:c>
      <x:c r="T138" s="24"/>
      <x:c r="U138" s="17" t="str">
        <x:v>https://graph.microsoft.com/v1.0/me/drive/items/01DHXXN7YJMCJUVPBWNJEJPJIH7B4OTAUR#page=49</x:v>
      </x:c>
      <x:c r="V138" s="17" t="str">
        <x:v>https://graph.microsoft.com/v1.0/me/drive/items/01DHXXN7YJMCJUVPBWNJEJPJIH7B4OTAUR</x:v>
      </x:c>
      <x:c r="W138" s="17" t="str">
        <x:v>60dc8a002fb82ed1ee4548267f55b2d9d9b38a39f3a5824653d2aebeed471b5d</x:v>
      </x:c>
      <x:c r="X138" s="17" t="str">
        <x:v>SKU no publicado; se conserva una identidad técnica estable. Precio por confirmar.</x:v>
      </x:c>
    </x:row>
    <x:row r="139" ht="34" customHeight="1">
      <x:c r="A139" s="17" t="str">
        <x:v>IDÉLIKA</x:v>
      </x:c>
      <x:c r="B139" s="17" t="str">
        <x:v>Fabricacion</x:v>
      </x:c>
      <x:c r="C139" s="17" t="str">
        <x:v>1 CATALOGO FABRICACION 2026B.pdf</x:v>
      </x:c>
      <x:c r="D139" s="21" t="n">
        <x:v>51</x:v>
      </x:c>
      <x:c r="E139" s="17" t="str">
        <x:v>idelika:fabricacion:sin-sku:2cc10bffbaa7c2ff5a61</x:v>
      </x:c>
      <x:c r="F139" s="17"/>
      <x:c r="G139" s="22" t="str">
        <x:v>por_verificar</x:v>
      </x:c>
      <x:c r="H139" s="17" t="str">
        <x:v>Colchón memory foam</x:v>
      </x:c>
      <x:c r="I139" s="17"/>
      <x:c r="J139" s="17"/>
      <x:c r="K139" s="17"/>
      <x:c r="L139" s="17"/>
      <x:c r="M139" s="17" t="str">
        <x:v>Precios disponibles en</x:v>
      </x:c>
      <x:c r="N139" s="22" t="str">
        <x:v>pieza</x:v>
      </x:c>
      <x:c r="O139" s="23"/>
      <x:c r="P139" s="23"/>
      <x:c r="Q139" s="17" t="str">
        <x:v>Precios disponibles en www.idelika.com</x:v>
      </x:c>
      <x:c r="R139" s="22" t="str">
        <x:v>por_confirmar</x:v>
      </x:c>
      <x:c r="S139" s="22" t="str">
        <x:v>Sí</x:v>
      </x:c>
      <x:c r="T139" s="24"/>
      <x:c r="U139" s="17" t="str">
        <x:v>https://graph.microsoft.com/v1.0/me/drive/items/01DHXXN7YJMCJUVPBWNJEJPJIH7B4OTAUR#page=51</x:v>
      </x:c>
      <x:c r="V139" s="17" t="str">
        <x:v>https://graph.microsoft.com/v1.0/me/drive/items/01DHXXN7YJMCJUVPBWNJEJPJIH7B4OTAUR</x:v>
      </x:c>
      <x:c r="W139" s="17" t="str">
        <x:v>2cc10bffbaa7c2ff5a61fd0062743676c3bd03dadaafd8d09a9d3efa7df85993</x:v>
      </x:c>
      <x:c r="X139" s="17" t="str">
        <x:v>SKU no publicado; se conserva una identidad técnica estable. Precio por confirmar.</x:v>
      </x:c>
    </x:row>
    <x:row r="140" ht="34" customHeight="1">
      <x:c r="A140" s="17" t="str">
        <x:v>IDÉLIKA</x:v>
      </x:c>
      <x:c r="B140" s="17" t="str">
        <x:v>Stock</x:v>
      </x:c>
      <x:c r="C140" s="17" t="str">
        <x:v>2 CATALOGO STOCK 2026.pdf</x:v>
      </x:c>
      <x:c r="D140" s="21" t="n">
        <x:v>2</x:v>
      </x:c>
      <x:c r="E140" s="17" t="str">
        <x:v>idelika:stock:sin-sku:04dda56435b4cdbefc70</x:v>
      </x:c>
      <x:c r="F140" s="17"/>
      <x:c r="G140" s="22" t="str">
        <x:v>por_verificar</x:v>
      </x:c>
      <x:c r="H140" s="17" t="str">
        <x:v>Marau silla</x:v>
      </x:c>
      <x:c r="I140" s="17" t="str">
        <x:v>Nogal</x:v>
      </x:c>
      <x:c r="J140" s="17"/>
      <x:c r="K140" s="17" t="str">
        <x:v>Madera y vinipiel</x:v>
      </x:c>
      <x:c r="L140" s="17" t="str">
        <x:v>48*50*77</x:v>
      </x:c>
      <x:c r="M140" s="17" t="str">
        <x:v>Madera y vinipiel 48*50*77</x:v>
      </x:c>
      <x:c r="N140" s="22" t="str">
        <x:v>pieza</x:v>
      </x:c>
      <x:c r="O140" s="23" t="n">
        <x:v>2999</x:v>
      </x:c>
      <x:c r="P140" s="23" t="n">
        <x:v>3599</x:v>
      </x:c>
      <x:c r="Q140" s="17" t="str">
        <x:v>$3,599 - $2,999</x:v>
      </x:c>
      <x:c r="R140" s="22" t="str">
        <x:v>confirmado</x:v>
      </x:c>
      <x:c r="S140" s="22" t="str">
        <x:v>Sí</x:v>
      </x:c>
      <x:c r="T140" s="24"/>
      <x:c r="U140" s="17" t="str">
        <x:v>https://graph.microsoft.com/v1.0/me/drive/items/01DHXXN7YASXKBZPOLSBHIX2N2T3PB4G2R#page=2</x:v>
      </x:c>
      <x:c r="V140" s="17" t="str">
        <x:v>https://graph.microsoft.com/v1.0/me/drive/items/01DHXXN7YASXKBZPOLSBHIX2N2T3PB4G2R</x:v>
      </x:c>
      <x:c r="W140" s="17" t="str">
        <x:v>04dda56435b4cdbefc707505bceecce4c0f892b9eb4b36dc71c94dc6f36963e5</x:v>
      </x:c>
      <x:c r="X140" s="17" t="str">
        <x:v>SKU no publicado; se conserva una identidad técnica estable.</x:v>
      </x:c>
    </x:row>
    <x:row r="141" ht="34" customHeight="1">
      <x:c r="A141" s="17" t="str">
        <x:v>IDÉLIKA</x:v>
      </x:c>
      <x:c r="B141" s="17" t="str">
        <x:v>Stock</x:v>
      </x:c>
      <x:c r="C141" s="17" t="str">
        <x:v>2 CATALOGO STOCK 2026.pdf</x:v>
      </x:c>
      <x:c r="D141" s="21" t="n">
        <x:v>2</x:v>
      </x:c>
      <x:c r="E141" s="17" t="str">
        <x:v>idelika:stock:sin-sku:5b9ce1c1351ab6acda0a</x:v>
      </x:c>
      <x:c r="F141" s="17"/>
      <x:c r="G141" s="22" t="str">
        <x:v>por_verificar</x:v>
      </x:c>
      <x:c r="H141" s="17" t="str">
        <x:v>Ebony banco</x:v>
      </x:c>
      <x:c r="I141" s="17" t="str">
        <x:v>Nogal</x:v>
      </x:c>
      <x:c r="J141" s="17"/>
      <x:c r="K141" s="17" t="str">
        <x:v>Madera y vinipiel</x:v>
      </x:c>
      <x:c r="L141" s="17" t="str">
        <x:v>52*50*100/122</x:v>
      </x:c>
      <x:c r="M141" s="17" t="str">
        <x:v>Madera y vinipiel 52*50*100/122</x:v>
      </x:c>
      <x:c r="N141" s="22" t="str">
        <x:v>pieza</x:v>
      </x:c>
      <x:c r="O141" s="23" t="n">
        <x:v>3999</x:v>
      </x:c>
      <x:c r="P141" s="23" t="n">
        <x:v>4999</x:v>
      </x:c>
      <x:c r="Q141" s="17" t="str">
        <x:v>$4,999 - $3,999</x:v>
      </x:c>
      <x:c r="R141" s="22" t="str">
        <x:v>confirmado</x:v>
      </x:c>
      <x:c r="S141" s="22" t="str">
        <x:v>Sí</x:v>
      </x:c>
      <x:c r="T141" s="24"/>
      <x:c r="U141" s="17" t="str">
        <x:v>https://graph.microsoft.com/v1.0/me/drive/items/01DHXXN7YASXKBZPOLSBHIX2N2T3PB4G2R#page=2</x:v>
      </x:c>
      <x:c r="V141" s="17" t="str">
        <x:v>https://graph.microsoft.com/v1.0/me/drive/items/01DHXXN7YASXKBZPOLSBHIX2N2T3PB4G2R</x:v>
      </x:c>
      <x:c r="W141" s="17" t="str">
        <x:v>5b9ce1c1351ab6acda0ab5281c0e7820a927f14f86ea89c2135a5b5c9e9c793e</x:v>
      </x:c>
      <x:c r="X141" s="17" t="str">
        <x:v>SKU no publicado; se conserva una identidad técnica estable.</x:v>
      </x:c>
    </x:row>
    <x:row r="142" ht="34" customHeight="1">
      <x:c r="A142" s="17" t="str">
        <x:v>IDÉLIKA</x:v>
      </x:c>
      <x:c r="B142" s="17" t="str">
        <x:v>Stock</x:v>
      </x:c>
      <x:c r="C142" s="17" t="str">
        <x:v>2 CATALOGO STOCK 2026.pdf</x:v>
      </x:c>
      <x:c r="D142" s="21" t="n">
        <x:v>3</x:v>
      </x:c>
      <x:c r="E142" s="17" t="str">
        <x:v>idelika:stock:sin-sku:d2cddce75c1e8f63d84b</x:v>
      </x:c>
      <x:c r="F142" s="17"/>
      <x:c r="G142" s="22" t="str">
        <x:v>por_verificar</x:v>
      </x:c>
      <x:c r="H142" s="17" t="str">
        <x:v>Slovequia banco</x:v>
      </x:c>
      <x:c r="I142" s="17"/>
      <x:c r="J142" s="17"/>
      <x:c r="K142" s="17" t="str">
        <x:v>Acero y polipropileno</x:v>
      </x:c>
      <x:c r="L142" s="17" t="str">
        <x:v>43*45*75</x:v>
      </x:c>
      <x:c r="M142" s="17" t="str">
        <x:v>Acero y polipropileno 43*45*75</x:v>
      </x:c>
      <x:c r="N142" s="22" t="str">
        <x:v>pieza</x:v>
      </x:c>
      <x:c r="O142" s="23" t="n">
        <x:v>1999</x:v>
      </x:c>
      <x:c r="P142" s="23" t="n">
        <x:v>2499</x:v>
      </x:c>
      <x:c r="Q142" s="17" t="str">
        <x:v>$2,499 - $1,999</x:v>
      </x:c>
      <x:c r="R142" s="22" t="str">
        <x:v>confirmado</x:v>
      </x:c>
      <x:c r="S142" s="22" t="str">
        <x:v>Sí</x:v>
      </x:c>
      <x:c r="T142" s="24"/>
      <x:c r="U142" s="17" t="str">
        <x:v>https://graph.microsoft.com/v1.0/me/drive/items/01DHXXN7YASXKBZPOLSBHIX2N2T3PB4G2R#page=3</x:v>
      </x:c>
      <x:c r="V142" s="17" t="str">
        <x:v>https://graph.microsoft.com/v1.0/me/drive/items/01DHXXN7YASXKBZPOLSBHIX2N2T3PB4G2R</x:v>
      </x:c>
      <x:c r="W142" s="17" t="str">
        <x:v>d2cddce75c1e8f63d84b994e600986efa308cbc5b4c592681a0fb85c8237e2b0</x:v>
      </x:c>
      <x:c r="X142" s="17" t="str">
        <x:v>SKU no publicado; se conserva una identidad técnica estable.</x:v>
      </x:c>
    </x:row>
    <x:row r="143" ht="34" customHeight="1">
      <x:c r="A143" s="17" t="str">
        <x:v>IDÉLIKA</x:v>
      </x:c>
      <x:c r="B143" s="17" t="str">
        <x:v>Stock</x:v>
      </x:c>
      <x:c r="C143" s="17" t="str">
        <x:v>2 CATALOGO STOCK 2026.pdf</x:v>
      </x:c>
      <x:c r="D143" s="21" t="n">
        <x:v>4</x:v>
      </x:c>
      <x:c r="E143" s="17" t="str">
        <x:v>idelika:stock:sin-sku:0416c892ad4041ca7a04</x:v>
      </x:c>
      <x:c r="F143" s="17"/>
      <x:c r="G143" s="22" t="str">
        <x:v>por_verificar</x:v>
      </x:c>
      <x:c r="H143" s="17" t="str">
        <x:v>Aminy Banco</x:v>
      </x:c>
      <x:c r="I143" s="17"/>
      <x:c r="J143" s="17"/>
      <x:c r="K143" s="17" t="str">
        <x:v>Vinipiel y acero</x:v>
      </x:c>
      <x:c r="L143" s="17" t="str">
        <x:v>53*50*95</x:v>
      </x:c>
      <x:c r="M143" s="17" t="str">
        <x:v>Vinipiel y acero 53*50*95</x:v>
      </x:c>
      <x:c r="N143" s="22" t="str">
        <x:v>pieza</x:v>
      </x:c>
      <x:c r="O143" s="23" t="n">
        <x:v>3999</x:v>
      </x:c>
      <x:c r="P143" s="23" t="n">
        <x:v>4499</x:v>
      </x:c>
      <x:c r="Q143" s="17" t="str">
        <x:v>$4,499 - $3,999</x:v>
      </x:c>
      <x:c r="R143" s="22" t="str">
        <x:v>confirmado</x:v>
      </x:c>
      <x:c r="S143" s="22" t="str">
        <x:v>Sí</x:v>
      </x:c>
      <x:c r="T143" s="24"/>
      <x:c r="U143" s="17" t="str">
        <x:v>https://graph.microsoft.com/v1.0/me/drive/items/01DHXXN7YASXKBZPOLSBHIX2N2T3PB4G2R#page=4</x:v>
      </x:c>
      <x:c r="V143" s="17" t="str">
        <x:v>https://graph.microsoft.com/v1.0/me/drive/items/01DHXXN7YASXKBZPOLSBHIX2N2T3PB4G2R</x:v>
      </x:c>
      <x:c r="W143" s="17" t="str">
        <x:v>0416c892ad4041ca7a048af23e3ddacf4575a5969732713259db9d9cf1758933</x:v>
      </x:c>
      <x:c r="X143" s="17" t="str">
        <x:v>SKU no publicado; se conserva una identidad técnica estable.</x:v>
      </x:c>
    </x:row>
    <x:row r="144" ht="34" customHeight="1">
      <x:c r="A144" s="17" t="str">
        <x:v>IDÉLIKA</x:v>
      </x:c>
      <x:c r="B144" s="17" t="str">
        <x:v>Stock</x:v>
      </x:c>
      <x:c r="C144" s="17" t="str">
        <x:v>2 CATALOGO STOCK 2026.pdf</x:v>
      </x:c>
      <x:c r="D144" s="21" t="n">
        <x:v>4</x:v>
      </x:c>
      <x:c r="E144" s="17" t="str">
        <x:v>idelika:stock:sin-sku:1eee3f4c75b684e69a41</x:v>
      </x:c>
      <x:c r="F144" s="17"/>
      <x:c r="G144" s="22" t="str">
        <x:v>por_verificar</x:v>
      </x:c>
      <x:c r="H144" s="17" t="str">
        <x:v>Aminy silla</x:v>
      </x:c>
      <x:c r="I144" s="17"/>
      <x:c r="J144" s="17"/>
      <x:c r="K144" s="17"/>
      <x:c r="L144" s="17" t="str">
        <x:v>60*60*87</x:v>
      </x:c>
      <x:c r="M144" s="17" t="str">
        <x:v>*la silla premiada como La más cómoda del mundo 60*60*87</x:v>
      </x:c>
      <x:c r="N144" s="22" t="str">
        <x:v>pieza</x:v>
      </x:c>
      <x:c r="O144" s="23" t="n">
        <x:v>3999</x:v>
      </x:c>
      <x:c r="P144" s="23" t="n">
        <x:v>4999</x:v>
      </x:c>
      <x:c r="Q144" s="17" t="str">
        <x:v>$4,999 - $3,999</x:v>
      </x:c>
      <x:c r="R144" s="22" t="str">
        <x:v>confirmado</x:v>
      </x:c>
      <x:c r="S144" s="22" t="str">
        <x:v>Sí</x:v>
      </x:c>
      <x:c r="T144" s="24"/>
      <x:c r="U144" s="17" t="str">
        <x:v>https://graph.microsoft.com/v1.0/me/drive/items/01DHXXN7YASXKBZPOLSBHIX2N2T3PB4G2R#page=4</x:v>
      </x:c>
      <x:c r="V144" s="17" t="str">
        <x:v>https://graph.microsoft.com/v1.0/me/drive/items/01DHXXN7YASXKBZPOLSBHIX2N2T3PB4G2R</x:v>
      </x:c>
      <x:c r="W144" s="17" t="str">
        <x:v>1eee3f4c75b684e69a41d1711e9065653f893af6128228e52006d67aef28c9f8</x:v>
      </x:c>
      <x:c r="X144" s="17" t="str">
        <x:v>SKU no publicado; se conserva una identidad técnica estable.</x:v>
      </x:c>
    </x:row>
    <x:row r="145" ht="34" customHeight="1">
      <x:c r="A145" s="17" t="str">
        <x:v>IDÉLIKA</x:v>
      </x:c>
      <x:c r="B145" s="17" t="str">
        <x:v>Stock</x:v>
      </x:c>
      <x:c r="C145" s="17" t="str">
        <x:v>2 CATALOGO STOCK 2026.pdf</x:v>
      </x:c>
      <x:c r="D145" s="21" t="n">
        <x:v>5</x:v>
      </x:c>
      <x:c r="E145" s="17" t="str">
        <x:v>idelika:stock:sin-sku:d39010a24c73a7777b31</x:v>
      </x:c>
      <x:c r="F145" s="17"/>
      <x:c r="G145" s="22" t="str">
        <x:v>por_verificar</x:v>
      </x:c>
      <x:c r="H145" s="17" t="str">
        <x:v>Tequila base baja</x:v>
      </x:c>
      <x:c r="I145" s="17"/>
      <x:c r="J145" s="17"/>
      <x:c r="K145" s="17" t="str">
        <x:v>Acero con pintura</x:v>
      </x:c>
      <x:c r="L145" s="17" t="str">
        <x:v>Fabricación 69*69*70</x:v>
      </x:c>
      <x:c r="M145" s="17" t="str">
        <x:v>Acero con pintura electroestática Uso exterior techado</x:v>
      </x:c>
      <x:c r="N145" s="22" t="str">
        <x:v>pieza</x:v>
      </x:c>
      <x:c r="O145" s="23" t="n">
        <x:v>1299</x:v>
      </x:c>
      <x:c r="P145" s="23" t="n">
        <x:v>1990</x:v>
      </x:c>
      <x:c r="Q145" s="17" t="str">
        <x:v>$1,990 – $1,299</x:v>
      </x:c>
      <x:c r="R145" s="22" t="str">
        <x:v>confirmado</x:v>
      </x:c>
      <x:c r="S145" s="22" t="str">
        <x:v>Sí</x:v>
      </x:c>
      <x:c r="T145" s="24"/>
      <x:c r="U145" s="17" t="str">
        <x:v>https://graph.microsoft.com/v1.0/me/drive/items/01DHXXN7YASXKBZPOLSBHIX2N2T3PB4G2R#page=5</x:v>
      </x:c>
      <x:c r="V145" s="17" t="str">
        <x:v>https://graph.microsoft.com/v1.0/me/drive/items/01DHXXN7YASXKBZPOLSBHIX2N2T3PB4G2R</x:v>
      </x:c>
      <x:c r="W145" s="17" t="str">
        <x:v>d39010a24c73a7777b31c0d2be3fa714024eae55cc3312d66d8da43a9ab70ddf</x:v>
      </x:c>
      <x:c r="X145" s="17" t="str">
        <x:v>SKU no publicado; se conserva una identidad técnica estable.</x:v>
      </x:c>
    </x:row>
    <x:row r="146" ht="34" customHeight="1">
      <x:c r="A146" s="17" t="str">
        <x:v>IDÉLIKA</x:v>
      </x:c>
      <x:c r="B146" s="17" t="str">
        <x:v>Stock</x:v>
      </x:c>
      <x:c r="C146" s="17" t="str">
        <x:v>2 CATALOGO STOCK 2026.pdf</x:v>
      </x:c>
      <x:c r="D146" s="21" t="n">
        <x:v>5</x:v>
      </x:c>
      <x:c r="E146" s="17" t="str">
        <x:v>idelika:stock:sin-sku:c2058e1c81fe1ab83e5e</x:v>
      </x:c>
      <x:c r="F146" s="17"/>
      <x:c r="G146" s="22" t="str">
        <x:v>por_verificar</x:v>
      </x:c>
      <x:c r="H146" s="17" t="str">
        <x:v>Tequila base alta</x:v>
      </x:c>
      <x:c r="I146" s="17"/>
      <x:c r="J146" s="17"/>
      <x:c r="K146" s="17" t="str">
        <x:v>Acero con pintura Cubiertas melamina e) Concrete f) Mármol carrara</x:v>
      </x:c>
      <x:c r="L146" s="17" t="str">
        <x:v>Fabricación 50*50*110</x:v>
      </x:c>
      <x:c r="M146" s="17" t="str">
        <x:v>Acero con pintura electroestática Uso exterior techado Cubiertas melamina encapsulada para exteriores Resistente rayaduras, protección rayos UV, nulo mantenimiento, resistente a objetos calientes, quemaduras de cigarro. Uso rudo interior y exterior. a) Epoxy b) Indian rosewood c) Black d) Wengué e) Concrete f) Mármol carrara</x:v>
      </x:c>
      <x:c r="N146" s="22" t="str">
        <x:v>pieza</x:v>
      </x:c>
      <x:c r="O146" s="23" t="n">
        <x:v>1599</x:v>
      </x:c>
      <x:c r="P146" s="23" t="n">
        <x:v>2190</x:v>
      </x:c>
      <x:c r="Q146" s="17" t="str">
        <x:v>$2,190 – $1,599</x:v>
      </x:c>
      <x:c r="R146" s="22" t="str">
        <x:v>confirmado</x:v>
      </x:c>
      <x:c r="S146" s="22" t="str">
        <x:v>Sí</x:v>
      </x:c>
      <x:c r="T146" s="24"/>
      <x:c r="U146" s="17" t="str">
        <x:v>https://graph.microsoft.com/v1.0/me/drive/items/01DHXXN7YASXKBZPOLSBHIX2N2T3PB4G2R#page=5</x:v>
      </x:c>
      <x:c r="V146" s="17" t="str">
        <x:v>https://graph.microsoft.com/v1.0/me/drive/items/01DHXXN7YASXKBZPOLSBHIX2N2T3PB4G2R</x:v>
      </x:c>
      <x:c r="W146" s="17" t="str">
        <x:v>c2058e1c81fe1ab83e5ebb8cbacff1fe460f8e63e9a7fcec9c10d800ec232070</x:v>
      </x:c>
      <x:c r="X146" s="17" t="str">
        <x:v>SKU no publicado; se conserva una identidad técnica estable.</x:v>
      </x:c>
    </x:row>
    <x:row r="147" ht="34" customHeight="1">
      <x:c r="A147" s="17" t="str">
        <x:v>IDÉLIKA</x:v>
      </x:c>
      <x:c r="B147" s="17" t="str">
        <x:v>Stock</x:v>
      </x:c>
      <x:c r="C147" s="17" t="str">
        <x:v>2 CATALOGO STOCK 2026.pdf</x:v>
      </x:c>
      <x:c r="D147" s="21" t="n">
        <x:v>5</x:v>
      </x:c>
      <x:c r="E147" s="17" t="str">
        <x:v>idelika:stock:sin-sku:9ca5d2a45a059a12a1b3</x:v>
      </x:c>
      <x:c r="F147" s="17"/>
      <x:c r="G147" s="22" t="str">
        <x:v>por_verificar</x:v>
      </x:c>
      <x:c r="H147" s="17" t="str">
        <x:v>Tequila base alta</x:v>
      </x:c>
      <x:c r="I147" s="17"/>
      <x:c r="J147" s="17"/>
      <x:c r="K147" s="17" t="str">
        <x:v>Acero con pintura Cubiertas melamina e) Concrete f) Mármol carrara</x:v>
      </x:c>
      <x:c r="L147" s="17" t="str">
        <x:v>60 diámetro</x:v>
      </x:c>
      <x:c r="M147" s="17" t="str">
        <x:v>Acero con pintura electroestática Uso exterior techado Cubiertas melamina encapsulada para exteriores Resistente rayaduras, protección rayos UV, nulo mantenimiento, resistente a objetos calientes, quemaduras de cigarro. Uso rudo interior y exterior. a) Epoxy b) Indian rosewood c) Black d) Wengué e) Concrete f) Mármol carrara</x:v>
      </x:c>
      <x:c r="N147" s="22" t="str">
        <x:v>pieza</x:v>
      </x:c>
      <x:c r="O147" s="23" t="n">
        <x:v>2390</x:v>
      </x:c>
      <x:c r="P147" s="23" t="n">
        <x:v>3290</x:v>
      </x:c>
      <x:c r="Q147" s="17" t="str">
        <x:v>60 diámetro $3,290 – $2,390</x:v>
      </x:c>
      <x:c r="R147" s="22" t="str">
        <x:v>confirmado</x:v>
      </x:c>
      <x:c r="S147" s="22" t="str">
        <x:v>Sí</x:v>
      </x:c>
      <x:c r="T147" s="24"/>
      <x:c r="U147" s="17" t="str">
        <x:v>https://graph.microsoft.com/v1.0/me/drive/items/01DHXXN7YASXKBZPOLSBHIX2N2T3PB4G2R#page=5</x:v>
      </x:c>
      <x:c r="V147" s="17" t="str">
        <x:v>https://graph.microsoft.com/v1.0/me/drive/items/01DHXXN7YASXKBZPOLSBHIX2N2T3PB4G2R</x:v>
      </x:c>
      <x:c r="W147" s="17" t="str">
        <x:v>9ca5d2a45a059a12a1b3cd20b0d3d50b4f7364a765c79ee4646c8d148503ec8a</x:v>
      </x:c>
      <x:c r="X147" s="17" t="str">
        <x:v>SKU no publicado; se conserva una identidad técnica estable.</x:v>
      </x:c>
    </x:row>
    <x:row r="148" ht="34" customHeight="1">
      <x:c r="A148" s="17" t="str">
        <x:v>IDÉLIKA</x:v>
      </x:c>
      <x:c r="B148" s="17" t="str">
        <x:v>Stock</x:v>
      </x:c>
      <x:c r="C148" s="17" t="str">
        <x:v>2 CATALOGO STOCK 2026.pdf</x:v>
      </x:c>
      <x:c r="D148" s="21" t="n">
        <x:v>5</x:v>
      </x:c>
      <x:c r="E148" s="17" t="str">
        <x:v>idelika:stock:sin-sku:0ce293c0959e10068dbe</x:v>
      </x:c>
      <x:c r="F148" s="17"/>
      <x:c r="G148" s="22" t="str">
        <x:v>por_verificar</x:v>
      </x:c>
      <x:c r="H148" s="17" t="str">
        <x:v>Tequila base alta</x:v>
      </x:c>
      <x:c r="I148" s="17"/>
      <x:c r="J148" s="17"/>
      <x:c r="K148" s="17" t="str">
        <x:v>Acero con pintura Cubiertas melamina e) Concrete f) Mármol carrara</x:v>
      </x:c>
      <x:c r="L148" s="17" t="str">
        <x:v>90 diámetro</x:v>
      </x:c>
      <x:c r="M148" s="17" t="str">
        <x:v>Acero con pintura electroestática Uso exterior techado Cubiertas melamina encapsulada para exteriores Resistente rayaduras, protección rayos UV, nulo mantenimiento, resistente a objetos calientes, quemaduras de cigarro. Uso rudo interior y exterior. a) Epoxy b) Indian rosewood c) Black d) Wengué e) Concrete f) Mármol carrara</x:v>
      </x:c>
      <x:c r="N148" s="22" t="str">
        <x:v>pieza</x:v>
      </x:c>
      <x:c r="O148" s="23" t="n">
        <x:v>2990</x:v>
      </x:c>
      <x:c r="P148" s="23" t="n">
        <x:v>3990</x:v>
      </x:c>
      <x:c r="Q148" s="17" t="str">
        <x:v>90 diámetro $3,990 – $2,990</x:v>
      </x:c>
      <x:c r="R148" s="22" t="str">
        <x:v>confirmado</x:v>
      </x:c>
      <x:c r="S148" s="22" t="str">
        <x:v>Sí</x:v>
      </x:c>
      <x:c r="T148" s="24"/>
      <x:c r="U148" s="17" t="str">
        <x:v>https://graph.microsoft.com/v1.0/me/drive/items/01DHXXN7YASXKBZPOLSBHIX2N2T3PB4G2R#page=5</x:v>
      </x:c>
      <x:c r="V148" s="17" t="str">
        <x:v>https://graph.microsoft.com/v1.0/me/drive/items/01DHXXN7YASXKBZPOLSBHIX2N2T3PB4G2R</x:v>
      </x:c>
      <x:c r="W148" s="17" t="str">
        <x:v>0ce293c0959e10068dbeb7393e060866e09e8c9f18d6a10d7fca2b47e2586563</x:v>
      </x:c>
      <x:c r="X148" s="17" t="str">
        <x:v>SKU no publicado; se conserva una identidad técnica estable.</x:v>
      </x:c>
    </x:row>
    <x:row r="149" ht="34" customHeight="1">
      <x:c r="A149" s="17" t="str">
        <x:v>IDÉLIKA</x:v>
      </x:c>
      <x:c r="B149" s="17" t="str">
        <x:v>Stock</x:v>
      </x:c>
      <x:c r="C149" s="17" t="str">
        <x:v>2 CATALOGO STOCK 2026.pdf</x:v>
      </x:c>
      <x:c r="D149" s="21" t="n">
        <x:v>5</x:v>
      </x:c>
      <x:c r="E149" s="17" t="str">
        <x:v>idelika:stock:sin-sku:2cd7d2e302622adbd834</x:v>
      </x:c>
      <x:c r="F149" s="17"/>
      <x:c r="G149" s="22" t="str">
        <x:v>por_verificar</x:v>
      </x:c>
      <x:c r="H149" s="17" t="str">
        <x:v>Tequila base alta</x:v>
      </x:c>
      <x:c r="I149" s="17"/>
      <x:c r="J149" s="17"/>
      <x:c r="K149" s="17" t="str">
        <x:v>Acero con pintura Cubiertas melamina e) Concrete f) Mármol carrara</x:v>
      </x:c>
      <x:c r="L149" s="17" t="str">
        <x:v>60*60</x:v>
      </x:c>
      <x:c r="M149" s="17" t="str">
        <x:v>Acero con pintura electroestática Uso exterior techado Cubiertas melamina encapsulada para exteriores Resistente rayaduras, protección rayos UV, nulo mantenimiento, resistente a objetos calientes, quemaduras de cigarro. Uso rudo interior y exterior. a) Epoxy b) Indian rosewood c) Black d) Wengué e) Concrete f) Mármol carrara</x:v>
      </x:c>
      <x:c r="N149" s="22" t="str">
        <x:v>pieza</x:v>
      </x:c>
      <x:c r="O149" s="23" t="n">
        <x:v>2390</x:v>
      </x:c>
      <x:c r="P149" s="23" t="n">
        <x:v>3290</x:v>
      </x:c>
      <x:c r="Q149" s="17" t="str">
        <x:v>60*60 $3,290 – $2,390</x:v>
      </x:c>
      <x:c r="R149" s="22" t="str">
        <x:v>confirmado</x:v>
      </x:c>
      <x:c r="S149" s="22" t="str">
        <x:v>Sí</x:v>
      </x:c>
      <x:c r="T149" s="24"/>
      <x:c r="U149" s="17" t="str">
        <x:v>https://graph.microsoft.com/v1.0/me/drive/items/01DHXXN7YASXKBZPOLSBHIX2N2T3PB4G2R#page=5</x:v>
      </x:c>
      <x:c r="V149" s="17" t="str">
        <x:v>https://graph.microsoft.com/v1.0/me/drive/items/01DHXXN7YASXKBZPOLSBHIX2N2T3PB4G2R</x:v>
      </x:c>
      <x:c r="W149" s="17" t="str">
        <x:v>2cd7d2e302622adbd8343415e91c10f26eea2edc28dbce1f35f0696155220ce1</x:v>
      </x:c>
      <x:c r="X149" s="17" t="str">
        <x:v>SKU no publicado; se conserva una identidad técnica estable.</x:v>
      </x:c>
    </x:row>
    <x:row r="150" ht="34" customHeight="1">
      <x:c r="A150" s="17" t="str">
        <x:v>IDÉLIKA</x:v>
      </x:c>
      <x:c r="B150" s="17" t="str">
        <x:v>Stock</x:v>
      </x:c>
      <x:c r="C150" s="17" t="str">
        <x:v>2 CATALOGO STOCK 2026.pdf</x:v>
      </x:c>
      <x:c r="D150" s="21" t="n">
        <x:v>5</x:v>
      </x:c>
      <x:c r="E150" s="17" t="str">
        <x:v>idelika:stock:sin-sku:004d63a58d10a23f2c8f</x:v>
      </x:c>
      <x:c r="F150" s="17"/>
      <x:c r="G150" s="22" t="str">
        <x:v>por_verificar</x:v>
      </x:c>
      <x:c r="H150" s="17" t="str">
        <x:v>Tequila base alta</x:v>
      </x:c>
      <x:c r="I150" s="17"/>
      <x:c r="J150" s="17"/>
      <x:c r="K150" s="17" t="str">
        <x:v>Acero con pintura Cubiertas melamina e) Concrete f) Mármol carrara</x:v>
      </x:c>
      <x:c r="L150" s="17" t="str">
        <x:v>80*80</x:v>
      </x:c>
      <x:c r="M150" s="17" t="str">
        <x:v>Acero con pintura electroestática Uso exterior techado Cubiertas melamina encapsulada para exteriores Resistente rayaduras, protección rayos UV, nulo mantenimiento, resistente a objetos calientes, quemaduras de cigarro. Uso rudo interior y exterior. a) Epoxy b) Indian rosewood c) Black d) Wengué e) Concrete f) Mármol carrara</x:v>
      </x:c>
      <x:c r="N150" s="22" t="str">
        <x:v>pieza</x:v>
      </x:c>
      <x:c r="O150" s="23" t="n">
        <x:v>2990</x:v>
      </x:c>
      <x:c r="P150" s="23" t="n">
        <x:v>3990</x:v>
      </x:c>
      <x:c r="Q150" s="17" t="str">
        <x:v>80*80 $3,990 – $2,990</x:v>
      </x:c>
      <x:c r="R150" s="22" t="str">
        <x:v>confirmado</x:v>
      </x:c>
      <x:c r="S150" s="22" t="str">
        <x:v>Sí</x:v>
      </x:c>
      <x:c r="T150" s="24"/>
      <x:c r="U150" s="17" t="str">
        <x:v>https://graph.microsoft.com/v1.0/me/drive/items/01DHXXN7YASXKBZPOLSBHIX2N2T3PB4G2R#page=5</x:v>
      </x:c>
      <x:c r="V150" s="17" t="str">
        <x:v>https://graph.microsoft.com/v1.0/me/drive/items/01DHXXN7YASXKBZPOLSBHIX2N2T3PB4G2R</x:v>
      </x:c>
      <x:c r="W150" s="17" t="str">
        <x:v>004d63a58d10a23f2c8fd458e8e5bb9a2e425e02e8a3c7011f8aa65dd1641282</x:v>
      </x:c>
      <x:c r="X150" s="17" t="str">
        <x:v>SKU no publicado; se conserva una identidad técnica estable.</x:v>
      </x:c>
    </x:row>
    <x:row r="151" ht="34" customHeight="1">
      <x:c r="A151" s="17" t="str">
        <x:v>IDÉLIKA</x:v>
      </x:c>
      <x:c r="B151" s="17" t="str">
        <x:v>Stock</x:v>
      </x:c>
      <x:c r="C151" s="17" t="str">
        <x:v>2 CATALOGO STOCK 2026.pdf</x:v>
      </x:c>
      <x:c r="D151" s="21" t="n">
        <x:v>5</x:v>
      </x:c>
      <x:c r="E151" s="17" t="str">
        <x:v>idelika:stock:sin-sku:8ce2b93696cc17b73c40</x:v>
      </x:c>
      <x:c r="F151" s="17"/>
      <x:c r="G151" s="22" t="str">
        <x:v>por_verificar</x:v>
      </x:c>
      <x:c r="H151" s="17" t="str">
        <x:v>Tequila base alta</x:v>
      </x:c>
      <x:c r="I151" s="17"/>
      <x:c r="J151" s="17"/>
      <x:c r="K151" s="17" t="str">
        <x:v>Acero con pintura Cubiertas melamina e) Concrete f) Mármol carrara</x:v>
      </x:c>
      <x:c r="L151" s="17" t="str">
        <x:v>80*140</x:v>
      </x:c>
      <x:c r="M151" s="17" t="str">
        <x:v>Acero con pintura electroestática Uso exterior techado Cubiertas melamina encapsulada para exteriores Resistente rayaduras, protección rayos UV, nulo mantenimiento, resistente a objetos calientes, quemaduras de cigarro. Uso rudo interior y exterior. a) Epoxy b) Indian rosewood c) Black d) Wengué e) Concrete f) Mármol carrara</x:v>
      </x:c>
      <x:c r="N151" s="22" t="str">
        <x:v>pieza</x:v>
      </x:c>
      <x:c r="O151" s="23" t="n">
        <x:v>4990</x:v>
      </x:c>
      <x:c r="P151" s="23" t="n">
        <x:v>7990</x:v>
      </x:c>
      <x:c r="Q151" s="17" t="str">
        <x:v>80*140 $7,990 – $4,990</x:v>
      </x:c>
      <x:c r="R151" s="22" t="str">
        <x:v>confirmado</x:v>
      </x:c>
      <x:c r="S151" s="22" t="str">
        <x:v>Sí</x:v>
      </x:c>
      <x:c r="T151" s="24"/>
      <x:c r="U151" s="17" t="str">
        <x:v>https://graph.microsoft.com/v1.0/me/drive/items/01DHXXN7YASXKBZPOLSBHIX2N2T3PB4G2R#page=5</x:v>
      </x:c>
      <x:c r="V151" s="17" t="str">
        <x:v>https://graph.microsoft.com/v1.0/me/drive/items/01DHXXN7YASXKBZPOLSBHIX2N2T3PB4G2R</x:v>
      </x:c>
      <x:c r="W151" s="17" t="str">
        <x:v>8ce2b93696cc17b73c40a401962c86b7f5264c6e78d8f4307456361d6cbed37e</x:v>
      </x:c>
      <x:c r="X151" s="17" t="str">
        <x:v>SKU no publicado; se conserva una identidad técnica estable.</x:v>
      </x:c>
    </x:row>
    <x:row r="152" ht="34" customHeight="1">
      <x:c r="A152" s="17" t="str">
        <x:v>IDÉLIKA</x:v>
      </x:c>
      <x:c r="B152" s="17" t="str">
        <x:v>Stock</x:v>
      </x:c>
      <x:c r="C152" s="17" t="str">
        <x:v>2 CATALOGO STOCK 2026.pdf</x:v>
      </x:c>
      <x:c r="D152" s="21" t="n">
        <x:v>6</x:v>
      </x:c>
      <x:c r="E152" s="17" t="str">
        <x:v>idelika:stock:sin-sku:ec0d5ed65d5dbae471aa</x:v>
      </x:c>
      <x:c r="F152" s="17"/>
      <x:c r="G152" s="22" t="str">
        <x:v>por_verificar</x:v>
      </x:c>
      <x:c r="H152" s="17" t="str">
        <x:v>Belfort cama KS</x:v>
      </x:c>
      <x:c r="I152" s="17" t="str">
        <x:v>Belfort</x:v>
      </x:c>
      <x:c r="J152" s="17"/>
      <x:c r="K152" s="17"/>
      <x:c r="L152" s="17"/>
      <x:c r="M152" s="17" t="str">
        <x:v>Beige</x:v>
      </x:c>
      <x:c r="N152" s="22" t="str">
        <x:v>pieza</x:v>
      </x:c>
      <x:c r="O152" s="23" t="n">
        <x:v>26990</x:v>
      </x:c>
      <x:c r="P152" s="23" t="n">
        <x:v>29999</x:v>
      </x:c>
      <x:c r="Q152" s="17" t="str">
        <x:v>$29,999 - $26,990</x:v>
      </x:c>
      <x:c r="R152" s="22" t="str">
        <x:v>confirmado</x:v>
      </x:c>
      <x:c r="S152" s="22" t="str">
        <x:v>Sí</x:v>
      </x:c>
      <x:c r="T152" s="24"/>
      <x:c r="U152" s="17" t="str">
        <x:v>https://graph.microsoft.com/v1.0/me/drive/items/01DHXXN7YASXKBZPOLSBHIX2N2T3PB4G2R#page=6</x:v>
      </x:c>
      <x:c r="V152" s="17" t="str">
        <x:v>https://graph.microsoft.com/v1.0/me/drive/items/01DHXXN7YASXKBZPOLSBHIX2N2T3PB4G2R</x:v>
      </x:c>
      <x:c r="W152" s="17" t="str">
        <x:v>ec0d5ed65d5dbae471aa3aa1b6ccd927d2c0ae46fa200a97f20dfd53c2f0e36c</x:v>
      </x:c>
      <x:c r="X152" s="17" t="str">
        <x:v>SKU no publicado; se conserva una identidad técnica estable.</x:v>
      </x:c>
    </x:row>
    <x:row r="153" ht="34" customHeight="1">
      <x:c r="A153" s="17" t="str">
        <x:v>IDÉLIKA</x:v>
      </x:c>
      <x:c r="B153" s="17" t="str">
        <x:v>Stock</x:v>
      </x:c>
      <x:c r="C153" s="17" t="str">
        <x:v>2 CATALOGO STOCK 2026.pdf</x:v>
      </x:c>
      <x:c r="D153" s="21" t="n">
        <x:v>6</x:v>
      </x:c>
      <x:c r="E153" s="17" t="str">
        <x:v>idelika:stock:sin-sku:839bda18878cf9f18f1f</x:v>
      </x:c>
      <x:c r="F153" s="17"/>
      <x:c r="G153" s="22" t="str">
        <x:v>por_verificar</x:v>
      </x:c>
      <x:c r="H153" s="17" t="str">
        <x:v>Belfort Sala esquinera</x:v>
      </x:c>
      <x:c r="I153" s="17" t="str">
        <x:v>Belfort</x:v>
      </x:c>
      <x:c r="J153" s="17"/>
      <x:c r="K153" s="17"/>
      <x:c r="L153" s="17" t="str">
        <x:v>287*165*72</x:v>
      </x:c>
      <x:c r="M153" s="17" t="str">
        <x:v>Derecha o izquierda 287*165*72</x:v>
      </x:c>
      <x:c r="N153" s="22" t="str">
        <x:v>pieza</x:v>
      </x:c>
      <x:c r="O153" s="23" t="n">
        <x:v>39990</x:v>
      </x:c>
      <x:c r="P153" s="23" t="n">
        <x:v>45990</x:v>
      </x:c>
      <x:c r="Q153" s="17" t="str">
        <x:v>$45,990 - $39,990</x:v>
      </x:c>
      <x:c r="R153" s="22" t="str">
        <x:v>confirmado</x:v>
      </x:c>
      <x:c r="S153" s="22" t="str">
        <x:v>Sí</x:v>
      </x:c>
      <x:c r="T153" s="24"/>
      <x:c r="U153" s="17" t="str">
        <x:v>https://graph.microsoft.com/v1.0/me/drive/items/01DHXXN7YASXKBZPOLSBHIX2N2T3PB4G2R#page=6</x:v>
      </x:c>
      <x:c r="V153" s="17" t="str">
        <x:v>https://graph.microsoft.com/v1.0/me/drive/items/01DHXXN7YASXKBZPOLSBHIX2N2T3PB4G2R</x:v>
      </x:c>
      <x:c r="W153" s="17" t="str">
        <x:v>839bda18878cf9f18f1f532203ac8104b3016af810d60d257d0ba89c821f9a43</x:v>
      </x:c>
      <x:c r="X153" s="17" t="str">
        <x:v>SKU no publicado; se conserva una identidad técnica estable.</x:v>
      </x:c>
    </x:row>
    <x:row r="154" ht="34" customHeight="1">
      <x:c r="A154" s="17" t="str">
        <x:v>IDÉLIKA</x:v>
      </x:c>
      <x:c r="B154" s="17" t="str">
        <x:v>Stock</x:v>
      </x:c>
      <x:c r="C154" s="17" t="str">
        <x:v>2 CATALOGO STOCK 2026.pdf</x:v>
      </x:c>
      <x:c r="D154" s="21" t="n">
        <x:v>7</x:v>
      </x:c>
      <x:c r="E154" s="17" t="str">
        <x:v>idelika:stock:sin-sku:7f7735f4758f70a12f4c</x:v>
      </x:c>
      <x:c r="F154" s="17"/>
      <x:c r="G154" s="22" t="str">
        <x:v>por_verificar</x:v>
      </x:c>
      <x:c r="H154" s="17" t="str">
        <x:v>Manhattan set 1 sofá (3 seater) + 1 sofá (2.5 seater)</x:v>
      </x:c>
      <x:c r="I154" s="17" t="str">
        <x:v>Manhattan</x:v>
      </x:c>
      <x:c r="J154" s="17"/>
      <x:c r="K154" s="17"/>
      <x:c r="L154" s="17" t="str">
        <x:v>183¨*100*89</x:v>
      </x:c>
      <x:c r="M154" s="17" t="str">
        <x:v>218*100*89 183¨*100*89</x:v>
      </x:c>
      <x:c r="N154" s="22" t="str">
        <x:v>pieza</x:v>
      </x:c>
      <x:c r="O154" s="23" t="n">
        <x:v>39990</x:v>
      </x:c>
      <x:c r="P154" s="23" t="n">
        <x:v>45990</x:v>
      </x:c>
      <x:c r="Q154" s="17" t="str">
        <x:v>$45,990 - $39,990</x:v>
      </x:c>
      <x:c r="R154" s="22" t="str">
        <x:v>confirmado</x:v>
      </x:c>
      <x:c r="S154" s="22" t="str">
        <x:v>Sí</x:v>
      </x:c>
      <x:c r="T154" s="24"/>
      <x:c r="U154" s="17" t="str">
        <x:v>https://graph.microsoft.com/v1.0/me/drive/items/01DHXXN7YASXKBZPOLSBHIX2N2T3PB4G2R#page=7</x:v>
      </x:c>
      <x:c r="V154" s="17" t="str">
        <x:v>https://graph.microsoft.com/v1.0/me/drive/items/01DHXXN7YASXKBZPOLSBHIX2N2T3PB4G2R</x:v>
      </x:c>
      <x:c r="W154" s="17" t="str">
        <x:v>7f7735f4758f70a12f4c31429922db2401c8da9e69d171dd8d510b4fa96c939a</x:v>
      </x:c>
      <x:c r="X154" s="17" t="str">
        <x:v>SKU no publicado; se conserva una identidad técnica estable.</x:v>
      </x:c>
    </x:row>
    <x:row r="155" ht="34" customHeight="1">
      <x:c r="A155" s="17" t="str">
        <x:v>IDÉLIKA</x:v>
      </x:c>
      <x:c r="B155" s="17" t="str">
        <x:v>Stock</x:v>
      </x:c>
      <x:c r="C155" s="17" t="str">
        <x:v>2 CATALOGO STOCK 2026.pdf</x:v>
      </x:c>
      <x:c r="D155" s="21" t="n">
        <x:v>7</x:v>
      </x:c>
      <x:c r="E155" s="17" t="str">
        <x:v>idelika:stock:sin-sku:21745596f7f1a6fcd89a</x:v>
      </x:c>
      <x:c r="F155" s="17"/>
      <x:c r="G155" s="22" t="str">
        <x:v>por_verificar</x:v>
      </x:c>
      <x:c r="H155" s="17" t="str">
        <x:v>Manhattan cama KS</x:v>
      </x:c>
      <x:c r="I155" s="17" t="str">
        <x:v>Manhattan</x:v>
      </x:c>
      <x:c r="J155" s="17"/>
      <x:c r="K155" s="17"/>
      <x:c r="L155" s="17"/>
      <x:c r="M155" s="17" t="str">
        <x:v>Gris Manhattan</x:v>
      </x:c>
      <x:c r="N155" s="22" t="str">
        <x:v>pieza</x:v>
      </x:c>
      <x:c r="O155" s="23" t="n">
        <x:v>26990</x:v>
      </x:c>
      <x:c r="P155" s="23" t="n">
        <x:v>29999</x:v>
      </x:c>
      <x:c r="Q155" s="17" t="str">
        <x:v>$29,999 - $26,990</x:v>
      </x:c>
      <x:c r="R155" s="22" t="str">
        <x:v>confirmado</x:v>
      </x:c>
      <x:c r="S155" s="22" t="str">
        <x:v>Sí</x:v>
      </x:c>
      <x:c r="T155" s="24"/>
      <x:c r="U155" s="17" t="str">
        <x:v>https://graph.microsoft.com/v1.0/me/drive/items/01DHXXN7YASXKBZPOLSBHIX2N2T3PB4G2R#page=7</x:v>
      </x:c>
      <x:c r="V155" s="17" t="str">
        <x:v>https://graph.microsoft.com/v1.0/me/drive/items/01DHXXN7YASXKBZPOLSBHIX2N2T3PB4G2R</x:v>
      </x:c>
      <x:c r="W155" s="17" t="str">
        <x:v>21745596f7f1a6fcd89a9b4f72e0ebbbd5ee6ab3dee4f2b118c4f1299075b4fb</x:v>
      </x:c>
      <x:c r="X155" s="17" t="str">
        <x:v>SKU no publicado; se conserva una identidad técnica estable.</x:v>
      </x:c>
    </x:row>
    <x:row r="156" ht="34" customHeight="1">
      <x:c r="A156" s="17" t="str">
        <x:v>IDÉLIKA</x:v>
      </x:c>
      <x:c r="B156" s="17" t="str">
        <x:v>Stock</x:v>
      </x:c>
      <x:c r="C156" s="17" t="str">
        <x:v>2 CATALOGO STOCK 2026.pdf</x:v>
      </x:c>
      <x:c r="D156" s="21" t="n">
        <x:v>8</x:v>
      </x:c>
      <x:c r="E156" s="17" t="str">
        <x:v>idelika:stock:sin-sku:8856a1eb4a57927c78f1</x:v>
      </x:c>
      <x:c r="F156" s="17"/>
      <x:c r="G156" s="22" t="str">
        <x:v>por_verificar</x:v>
      </x:c>
      <x:c r="H156" s="17" t="str">
        <x:v>St. Mitchel Silla</x:v>
      </x:c>
      <x:c r="I156" s="17" t="str">
        <x:v>St. Mitchel</x:v>
      </x:c>
      <x:c r="J156" s="17"/>
      <x:c r="K156" s="17" t="str">
        <x:v>Ratán en Polipropileno sintético</x:v>
      </x:c>
      <x:c r="L156" s="17" t="str">
        <x:v>55*60*81</x:v>
      </x:c>
      <x:c r="M156" s="17" t="str">
        <x:v>Ratán en Polipropileno sintético 55*60*81 Negra/Blanca/Terracota Calidad contract (uso rudo)</x:v>
      </x:c>
      <x:c r="N156" s="22" t="str">
        <x:v>pieza</x:v>
      </x:c>
      <x:c r="O156" s="23" t="n">
        <x:v>1799</x:v>
      </x:c>
      <x:c r="P156" s="23" t="n">
        <x:v>1999</x:v>
      </x:c>
      <x:c r="Q156" s="17" t="str">
        <x:v>$1,999 – $1,799</x:v>
      </x:c>
      <x:c r="R156" s="22" t="str">
        <x:v>confirmado</x:v>
      </x:c>
      <x:c r="S156" s="22" t="str">
        <x:v>Sí</x:v>
      </x:c>
      <x:c r="T156" s="24"/>
      <x:c r="U156" s="17" t="str">
        <x:v>https://graph.microsoft.com/v1.0/me/drive/items/01DHXXN7YASXKBZPOLSBHIX2N2T3PB4G2R#page=8</x:v>
      </x:c>
      <x:c r="V156" s="17" t="str">
        <x:v>https://graph.microsoft.com/v1.0/me/drive/items/01DHXXN7YASXKBZPOLSBHIX2N2T3PB4G2R</x:v>
      </x:c>
      <x:c r="W156" s="17" t="str">
        <x:v>8856a1eb4a57927c78f1c0ae32ca6640f8cb3d4e841a07815340ec9f2fa441a5</x:v>
      </x:c>
      <x:c r="X156" s="17" t="str">
        <x:v>SKU no publicado; se conserva una identidad técnica estable.</x:v>
      </x:c>
    </x:row>
    <x:row r="157" ht="34" customHeight="1">
      <x:c r="A157" s="17" t="str">
        <x:v>IDÉLIKA</x:v>
      </x:c>
      <x:c r="B157" s="17" t="str">
        <x:v>Stock</x:v>
      </x:c>
      <x:c r="C157" s="17" t="str">
        <x:v>2 CATALOGO STOCK 2026.pdf</x:v>
      </x:c>
      <x:c r="D157" s="21" t="n">
        <x:v>8</x:v>
      </x:c>
      <x:c r="E157" s="17" t="str">
        <x:v>idelika:stock:sin-sku:1038da5e5fda5cebf5c9</x:v>
      </x:c>
      <x:c r="F157" s="17"/>
      <x:c r="G157" s="22" t="str">
        <x:v>por_verificar</x:v>
      </x:c>
      <x:c r="H157" s="17" t="str">
        <x:v>Pellegrino Mesa</x:v>
      </x:c>
      <x:c r="I157" s="17" t="str">
        <x:v>St. Mitchel</x:v>
      </x:c>
      <x:c r="J157" s="17"/>
      <x:c r="K157" s="17" t="str">
        <x:v>Polipropileno</x:v>
      </x:c>
      <x:c r="L157" s="17" t="str">
        <x:v>80*80*76</x:v>
      </x:c>
      <x:c r="M157" s="17" t="str">
        <x:v>Polipropileno 80*80*76 Calidad contract (uso rudo)</x:v>
      </x:c>
      <x:c r="N157" s="22" t="str">
        <x:v>pieza</x:v>
      </x:c>
      <x:c r="O157" s="23" t="n">
        <x:v>3999</x:v>
      </x:c>
      <x:c r="P157" s="23" t="n">
        <x:v>4499</x:v>
      </x:c>
      <x:c r="Q157" s="17" t="str">
        <x:v>$4,499 – $3,999</x:v>
      </x:c>
      <x:c r="R157" s="22" t="str">
        <x:v>confirmado</x:v>
      </x:c>
      <x:c r="S157" s="22" t="str">
        <x:v>Sí</x:v>
      </x:c>
      <x:c r="T157" s="24"/>
      <x:c r="U157" s="17" t="str">
        <x:v>https://graph.microsoft.com/v1.0/me/drive/items/01DHXXN7YASXKBZPOLSBHIX2N2T3PB4G2R#page=8</x:v>
      </x:c>
      <x:c r="V157" s="17" t="str">
        <x:v>https://graph.microsoft.com/v1.0/me/drive/items/01DHXXN7YASXKBZPOLSBHIX2N2T3PB4G2R</x:v>
      </x:c>
      <x:c r="W157" s="17" t="str">
        <x:v>1038da5e5fda5cebf5c9ae90d9fdf4b73b00e68c6bfa5adbc5ead09c2eaa37a7</x:v>
      </x:c>
      <x:c r="X157" s="17" t="str">
        <x:v>SKU no publicado; se conserva una identidad técnica estable.</x:v>
      </x:c>
    </x:row>
    <x:row r="158" ht="34" customHeight="1">
      <x:c r="A158" s="17" t="str">
        <x:v>IDÉLIKA</x:v>
      </x:c>
      <x:c r="B158" s="17" t="str">
        <x:v>Stock</x:v>
      </x:c>
      <x:c r="C158" s="17" t="str">
        <x:v>2 CATALOGO STOCK 2026.pdf</x:v>
      </x:c>
      <x:c r="D158" s="21" t="n">
        <x:v>8</x:v>
      </x:c>
      <x:c r="E158" s="17" t="str">
        <x:v>idelika:stock:sin-sku:baa17fcf4e9577a912cf</x:v>
      </x:c>
      <x:c r="F158" s="17"/>
      <x:c r="G158" s="22" t="str">
        <x:v>por_verificar</x:v>
      </x:c>
      <x:c r="H158" s="17" t="str">
        <x:v>St. Mitchel Banco</x:v>
      </x:c>
      <x:c r="I158" s="17" t="str">
        <x:v>St. Mitchel</x:v>
      </x:c>
      <x:c r="J158" s="17"/>
      <x:c r="K158" s="17" t="str">
        <x:v>Ratán en Polipropileno sintético</x:v>
      </x:c>
      <x:c r="L158" s="17" t="str">
        <x:v>41*53*103/75</x:v>
      </x:c>
      <x:c r="M158" s="17" t="str">
        <x:v>Ratán en Polipropileno sintético 41*53*103/75 Negra/Blanca/Terracota Calidad contract (uso rudo)</x:v>
      </x:c>
      <x:c r="N158" s="22" t="str">
        <x:v>pieza</x:v>
      </x:c>
      <x:c r="O158" s="23" t="n">
        <x:v>1999</x:v>
      </x:c>
      <x:c r="P158" s="23" t="n">
        <x:v>2199</x:v>
      </x:c>
      <x:c r="Q158" s="17" t="str">
        <x:v>$2,199 – $1,999</x:v>
      </x:c>
      <x:c r="R158" s="22" t="str">
        <x:v>confirmado</x:v>
      </x:c>
      <x:c r="S158" s="22" t="str">
        <x:v>Sí</x:v>
      </x:c>
      <x:c r="T158" s="24"/>
      <x:c r="U158" s="17" t="str">
        <x:v>https://graph.microsoft.com/v1.0/me/drive/items/01DHXXN7YASXKBZPOLSBHIX2N2T3PB4G2R#page=8</x:v>
      </x:c>
      <x:c r="V158" s="17" t="str">
        <x:v>https://graph.microsoft.com/v1.0/me/drive/items/01DHXXN7YASXKBZPOLSBHIX2N2T3PB4G2R</x:v>
      </x:c>
      <x:c r="W158" s="17" t="str">
        <x:v>baa17fcf4e9577a912cf0e2a4b8467b89d8ea5cbbe30550e2e15564f70ff31fb</x:v>
      </x:c>
      <x:c r="X158" s="17" t="str">
        <x:v>SKU no publicado; se conserva una identidad técnica estable.</x:v>
      </x:c>
    </x:row>
    <x:row r="159" ht="34" customHeight="1">
      <x:c r="A159" s="17" t="str">
        <x:v>IDÉLIKA</x:v>
      </x:c>
      <x:c r="B159" s="17" t="str">
        <x:v>Stock</x:v>
      </x:c>
      <x:c r="C159" s="17" t="str">
        <x:v>2 CATALOGO STOCK 2026.pdf</x:v>
      </x:c>
      <x:c r="D159" s="21" t="n">
        <x:v>9</x:v>
      </x:c>
      <x:c r="E159" s="17" t="str">
        <x:v>idelika:stock:sin-sku:fc6219b3e8bd61dd9185</x:v>
      </x:c>
      <x:c r="F159" s="17"/>
      <x:c r="G159" s="22" t="str">
        <x:v>por_verificar</x:v>
      </x:c>
      <x:c r="H159" s="17" t="str">
        <x:v>Pellegrino Silla</x:v>
      </x:c>
      <x:c r="I159" s="17" t="str">
        <x:v>Mediterraneo</x:v>
      </x:c>
      <x:c r="J159" s="17"/>
      <x:c r="K159" s="17" t="str">
        <x:v>Polipropileno</x:v>
      </x:c>
      <x:c r="L159" s="17" t="str">
        <x:v>45*50*53</x:v>
      </x:c>
      <x:c r="M159" s="17" t="str">
        <x:v>Polipropileno 45*50*53 Calidad contract (uso rudo)</x:v>
      </x:c>
      <x:c r="N159" s="22" t="str">
        <x:v>pieza</x:v>
      </x:c>
      <x:c r="O159" s="23" t="n">
        <x:v>1999</x:v>
      </x:c>
      <x:c r="P159" s="23" t="n">
        <x:v>2499</x:v>
      </x:c>
      <x:c r="Q159" s="17" t="str">
        <x:v>$2,499 – $1,999</x:v>
      </x:c>
      <x:c r="R159" s="22" t="str">
        <x:v>confirmado</x:v>
      </x:c>
      <x:c r="S159" s="22" t="str">
        <x:v>Sí</x:v>
      </x:c>
      <x:c r="T159" s="24"/>
      <x:c r="U159" s="17" t="str">
        <x:v>https://graph.microsoft.com/v1.0/me/drive/items/01DHXXN7YASXKBZPOLSBHIX2N2T3PB4G2R#page=9</x:v>
      </x:c>
      <x:c r="V159" s="17" t="str">
        <x:v>https://graph.microsoft.com/v1.0/me/drive/items/01DHXXN7YASXKBZPOLSBHIX2N2T3PB4G2R</x:v>
      </x:c>
      <x:c r="W159" s="17" t="str">
        <x:v>fc6219b3e8bd61dd9185b389251a20c1b1bda3861864be651ea98eaa575bad61</x:v>
      </x:c>
      <x:c r="X159" s="17" t="str">
        <x:v>SKU no publicado; se conserva una identidad técnica estable.</x:v>
      </x:c>
    </x:row>
    <x:row r="160" ht="34" customHeight="1">
      <x:c r="A160" s="17" t="str">
        <x:v>IDÉLIKA</x:v>
      </x:c>
      <x:c r="B160" s="17" t="str">
        <x:v>Stock</x:v>
      </x:c>
      <x:c r="C160" s="17" t="str">
        <x:v>2 CATALOGO STOCK 2026.pdf</x:v>
      </x:c>
      <x:c r="D160" s="21" t="n">
        <x:v>9</x:v>
      </x:c>
      <x:c r="E160" s="17" t="str">
        <x:v>idelika:stock:sin-sku:d0c1aa5f3d4b2afdaebb</x:v>
      </x:c>
      <x:c r="F160" s="17"/>
      <x:c r="G160" s="22" t="str">
        <x:v>por_verificar</x:v>
      </x:c>
      <x:c r="H160" s="17" t="str">
        <x:v>Calabria Silla</x:v>
      </x:c>
      <x:c r="I160" s="17" t="str">
        <x:v>Mediterraneo</x:v>
      </x:c>
      <x:c r="J160" s="17"/>
      <x:c r="K160" s="17" t="str">
        <x:v>Polipropileno y Ratán en Polipropileno sintético</x:v>
      </x:c>
      <x:c r="L160" s="17" t="str">
        <x:v>41*52*81</x:v>
      </x:c>
      <x:c r="M160" s="17" t="str">
        <x:v>Polipropileno y Ratán en Polipropileno sintético 41*52*81 Calidad contract (uso rudo)</x:v>
      </x:c>
      <x:c r="N160" s="22" t="str">
        <x:v>pieza</x:v>
      </x:c>
      <x:c r="O160" s="23" t="n">
        <x:v>1999</x:v>
      </x:c>
      <x:c r="P160" s="23" t="n">
        <x:v>2499</x:v>
      </x:c>
      <x:c r="Q160" s="17" t="str">
        <x:v>$2,499 – $1,999</x:v>
      </x:c>
      <x:c r="R160" s="22" t="str">
        <x:v>confirmado</x:v>
      </x:c>
      <x:c r="S160" s="22" t="str">
        <x:v>Sí</x:v>
      </x:c>
      <x:c r="T160" s="24"/>
      <x:c r="U160" s="17" t="str">
        <x:v>https://graph.microsoft.com/v1.0/me/drive/items/01DHXXN7YASXKBZPOLSBHIX2N2T3PB4G2R#page=9</x:v>
      </x:c>
      <x:c r="V160" s="17" t="str">
        <x:v>https://graph.microsoft.com/v1.0/me/drive/items/01DHXXN7YASXKBZPOLSBHIX2N2T3PB4G2R</x:v>
      </x:c>
      <x:c r="W160" s="17" t="str">
        <x:v>d0c1aa5f3d4b2afdaebb1db14d28e6d0040107e0fc830dd2d449c8c4302017fd</x:v>
      </x:c>
      <x:c r="X160" s="17" t="str">
        <x:v>SKU no publicado; se conserva una identidad técnica estable.</x:v>
      </x:c>
    </x:row>
    <x:row r="161" ht="34" customHeight="1">
      <x:c r="A161" s="17" t="str">
        <x:v>IDÉLIKA</x:v>
      </x:c>
      <x:c r="B161" s="17" t="str">
        <x:v>Stock</x:v>
      </x:c>
      <x:c r="C161" s="17" t="str">
        <x:v>2 CATALOGO STOCK 2026.pdf</x:v>
      </x:c>
      <x:c r="D161" s="21" t="n">
        <x:v>9</x:v>
      </x:c>
      <x:c r="E161" s="17" t="str">
        <x:v>idelika:stock:sin-sku:fcd186b18d2cb420692c</x:v>
      </x:c>
      <x:c r="F161" s="17"/>
      <x:c r="G161" s="22" t="str">
        <x:v>por_verificar</x:v>
      </x:c>
      <x:c r="H161" s="17" t="str">
        <x:v>Pellegrino Mesa</x:v>
      </x:c>
      <x:c r="I161" s="17" t="str">
        <x:v>Mediterraneo</x:v>
      </x:c>
      <x:c r="J161" s="17"/>
      <x:c r="K161" s="17" t="str">
        <x:v>Polipropileno</x:v>
      </x:c>
      <x:c r="L161" s="17" t="str">
        <x:v>80*80*76</x:v>
      </x:c>
      <x:c r="M161" s="17" t="str">
        <x:v>Polipropileno 80*80*76 Calidad contract (uso rudo) Mediterraneo</x:v>
      </x:c>
      <x:c r="N161" s="22" t="str">
        <x:v>pieza</x:v>
      </x:c>
      <x:c r="O161" s="23" t="n">
        <x:v>3999</x:v>
      </x:c>
      <x:c r="P161" s="23" t="n">
        <x:v>5499</x:v>
      </x:c>
      <x:c r="Q161" s="17" t="str">
        <x:v>$5,499 – $3,999</x:v>
      </x:c>
      <x:c r="R161" s="22" t="str">
        <x:v>confirmado</x:v>
      </x:c>
      <x:c r="S161" s="22" t="str">
        <x:v>Sí</x:v>
      </x:c>
      <x:c r="T161" s="24"/>
      <x:c r="U161" s="17" t="str">
        <x:v>https://graph.microsoft.com/v1.0/me/drive/items/01DHXXN7YASXKBZPOLSBHIX2N2T3PB4G2R#page=9</x:v>
      </x:c>
      <x:c r="V161" s="17" t="str">
        <x:v>https://graph.microsoft.com/v1.0/me/drive/items/01DHXXN7YASXKBZPOLSBHIX2N2T3PB4G2R</x:v>
      </x:c>
      <x:c r="W161" s="17" t="str">
        <x:v>fcd186b18d2cb420692ce1d5a7dc2fe968ce5d5584d5f1c1c4d35353d87922df</x:v>
      </x:c>
      <x:c r="X161" s="17" t="str">
        <x:v>SKU no publicado; se conserva una identidad técnica estable.</x:v>
      </x:c>
    </x:row>
    <x:row r="162" ht="34" customHeight="1">
      <x:c r="A162" s="17" t="str">
        <x:v>IDÉLIKA</x:v>
      </x:c>
      <x:c r="B162" s="17" t="str">
        <x:v>Stock</x:v>
      </x:c>
      <x:c r="C162" s="17" t="str">
        <x:v>2 CATALOGO STOCK 2026.pdf</x:v>
      </x:c>
      <x:c r="D162" s="21" t="n">
        <x:v>10</x:v>
      </x:c>
      <x:c r="E162" s="17" t="str">
        <x:v>idelika:stock:sin-sku:b2d00f0b149a17f4a9cf</x:v>
      </x:c>
      <x:c r="F162" s="17"/>
      <x:c r="G162" s="22" t="str">
        <x:v>por_verificar</x:v>
      </x:c>
      <x:c r="H162" s="17" t="str">
        <x:v>Pellegrino Mesa</x:v>
      </x:c>
      <x:c r="I162" s="17"/>
      <x:c r="J162" s="17"/>
      <x:c r="K162" s="17" t="str">
        <x:v>Polipropileno</x:v>
      </x:c>
      <x:c r="L162" s="17" t="str">
        <x:v>80*80*76</x:v>
      </x:c>
      <x:c r="M162" s="17" t="str">
        <x:v>Polipropileno 80*80*76 Calidad contract (uso rudo)</x:v>
      </x:c>
      <x:c r="N162" s="22" t="str">
        <x:v>pieza</x:v>
      </x:c>
      <x:c r="O162" s="23" t="n">
        <x:v>3999</x:v>
      </x:c>
      <x:c r="P162" s="23" t="n">
        <x:v>5499</x:v>
      </x:c>
      <x:c r="Q162" s="17" t="str">
        <x:v>$5,499 – $3,999</x:v>
      </x:c>
      <x:c r="R162" s="22" t="str">
        <x:v>confirmado</x:v>
      </x:c>
      <x:c r="S162" s="22" t="str">
        <x:v>Sí</x:v>
      </x:c>
      <x:c r="T162" s="24"/>
      <x:c r="U162" s="17" t="str">
        <x:v>https://graph.microsoft.com/v1.0/me/drive/items/01DHXXN7YASXKBZPOLSBHIX2N2T3PB4G2R#page=10</x:v>
      </x:c>
      <x:c r="V162" s="17" t="str">
        <x:v>https://graph.microsoft.com/v1.0/me/drive/items/01DHXXN7YASXKBZPOLSBHIX2N2T3PB4G2R</x:v>
      </x:c>
      <x:c r="W162" s="17" t="str">
        <x:v>b2d00f0b149a17f4a9cf43f12658d50dab4f1dee1e4aeb4784cf6f186e8f0ef7</x:v>
      </x:c>
      <x:c r="X162" s="17" t="str">
        <x:v>SKU no publicado; se conserva una identidad técnica estable.</x:v>
      </x:c>
    </x:row>
    <x:row r="163" ht="34" customHeight="1">
      <x:c r="A163" s="17" t="str">
        <x:v>IDÉLIKA</x:v>
      </x:c>
      <x:c r="B163" s="17" t="str">
        <x:v>Stock</x:v>
      </x:c>
      <x:c r="C163" s="17" t="str">
        <x:v>2 CATALOGO STOCK 2026.pdf</x:v>
      </x:c>
      <x:c r="D163" s="21" t="n">
        <x:v>10</x:v>
      </x:c>
      <x:c r="E163" s="17" t="str">
        <x:v>idelika:stock:sin-sku:23bcf473937eadcc2f77</x:v>
      </x:c>
      <x:c r="F163" s="17"/>
      <x:c r="G163" s="22" t="str">
        <x:v>por_verificar</x:v>
      </x:c>
      <x:c r="H163" s="17" t="str">
        <x:v>Palermo Silla</x:v>
      </x:c>
      <x:c r="I163" s="17"/>
      <x:c r="J163" s="17"/>
      <x:c r="K163" s="17" t="str">
        <x:v>Polipropileno y Ratán en polipropileno sintético</x:v>
      </x:c>
      <x:c r="L163" s="17" t="str">
        <x:v>58*58*84</x:v>
      </x:c>
      <x:c r="M163" s="17" t="str">
        <x:v>Polipropileno y Ratán en polipropileno sintético 58*58*84 Calidad contract (uso rudo)</x:v>
      </x:c>
      <x:c r="N163" s="22" t="str">
        <x:v>pieza</x:v>
      </x:c>
      <x:c r="O163" s="23" t="n">
        <x:v>1999</x:v>
      </x:c>
      <x:c r="P163" s="23" t="n">
        <x:v>2499</x:v>
      </x:c>
      <x:c r="Q163" s="17" t="str">
        <x:v>$2,499 – $1,999</x:v>
      </x:c>
      <x:c r="R163" s="22" t="str">
        <x:v>confirmado</x:v>
      </x:c>
      <x:c r="S163" s="22" t="str">
        <x:v>Sí</x:v>
      </x:c>
      <x:c r="T163" s="24"/>
      <x:c r="U163" s="17" t="str">
        <x:v>https://graph.microsoft.com/v1.0/me/drive/items/01DHXXN7YASXKBZPOLSBHIX2N2T3PB4G2R#page=10</x:v>
      </x:c>
      <x:c r="V163" s="17" t="str">
        <x:v>https://graph.microsoft.com/v1.0/me/drive/items/01DHXXN7YASXKBZPOLSBHIX2N2T3PB4G2R</x:v>
      </x:c>
      <x:c r="W163" s="17" t="str">
        <x:v>23bcf473937eadcc2f7736de12c46bd9f3beee2a5fa03f98b71a0948f5b890d8</x:v>
      </x:c>
      <x:c r="X163" s="17" t="str">
        <x:v>SKU no publicado; se conserva una identidad técnica estable.</x:v>
      </x:c>
    </x:row>
    <x:row r="164" ht="34" customHeight="1">
      <x:c r="A164" s="17" t="str">
        <x:v>IDÉLIKA</x:v>
      </x:c>
      <x:c r="B164" s="17" t="str">
        <x:v>Stock</x:v>
      </x:c>
      <x:c r="C164" s="17" t="str">
        <x:v>2 CATALOGO STOCK 2026.pdf</x:v>
      </x:c>
      <x:c r="D164" s="21" t="n">
        <x:v>11</x:v>
      </x:c>
      <x:c r="E164" s="17" t="str">
        <x:v>idelika:stock:sin-sku:00c6b47ea4fb372b4ae4</x:v>
      </x:c>
      <x:c r="F164" s="17"/>
      <x:c r="G164" s="22" t="str">
        <x:v>por_verificar</x:v>
      </x:c>
      <x:c r="H164" s="17" t="str">
        <x:v>Tuscany sombrilla de brazo</x:v>
      </x:c>
      <x:c r="I164" s="17"/>
      <x:c r="J164" s="17"/>
      <x:c r="K164" s="17" t="str">
        <x:v>Aluminio 100% exterior y loneta Base de piedra de mármol</x:v>
      </x:c>
      <x:c r="L164" s="17" t="str">
        <x:v>Importación 3m diámetro</x:v>
      </x:c>
      <x:c r="M164" s="17" t="str">
        <x:v>Aluminio 100% exterior y loneta Base de piedra de mármol</x:v>
      </x:c>
      <x:c r="N164" s="22" t="str">
        <x:v>pieza</x:v>
      </x:c>
      <x:c r="O164" s="23" t="n">
        <x:v>14990</x:v>
      </x:c>
      <x:c r="P164" s="23" t="n">
        <x:v>16990</x:v>
      </x:c>
      <x:c r="Q164" s="17" t="str">
        <x:v>$16,990 – $14,990</x:v>
      </x:c>
      <x:c r="R164" s="22" t="str">
        <x:v>confirmado</x:v>
      </x:c>
      <x:c r="S164" s="22" t="str">
        <x:v>Sí</x:v>
      </x:c>
      <x:c r="T164" s="24"/>
      <x:c r="U164" s="17" t="str">
        <x:v>https://graph.microsoft.com/v1.0/me/drive/items/01DHXXN7YASXKBZPOLSBHIX2N2T3PB4G2R#page=11</x:v>
      </x:c>
      <x:c r="V164" s="17" t="str">
        <x:v>https://graph.microsoft.com/v1.0/me/drive/items/01DHXXN7YASXKBZPOLSBHIX2N2T3PB4G2R</x:v>
      </x:c>
      <x:c r="W164" s="17" t="str">
        <x:v>00c6b47ea4fb372b4ae4b804e94eebccc7480b209963a525bbbb23c90c061d66</x:v>
      </x:c>
      <x:c r="X164" s="17" t="str">
        <x:v>SKU no publicado; se conserva una identidad técnica estable.</x:v>
      </x:c>
    </x:row>
    <x:row r="165" ht="34" customHeight="1">
      <x:c r="A165" s="17" t="str">
        <x:v>IDÉLIKA</x:v>
      </x:c>
      <x:c r="B165" s="17" t="str">
        <x:v>Stock</x:v>
      </x:c>
      <x:c r="C165" s="17" t="str">
        <x:v>2 CATALOGO STOCK 2026.pdf</x:v>
      </x:c>
      <x:c r="D165" s="21" t="n">
        <x:v>11</x:v>
      </x:c>
      <x:c r="E165" s="17" t="str">
        <x:v>idelika:stock:sin-sku:5e3906126ff7b5aa4b16</x:v>
      </x:c>
      <x:c r="F165" s="17"/>
      <x:c r="G165" s="22" t="str">
        <x:v>por_verificar</x:v>
      </x:c>
      <x:c r="H165" s="17" t="str">
        <x:v>Tuscany sombrilla</x:v>
      </x:c>
      <x:c r="I165" s="17"/>
      <x:c r="J165" s="17"/>
      <x:c r="K165" s="17" t="str">
        <x:v>Aluminio 100% exterior y loneta Base de piedra de marmol</x:v>
      </x:c>
      <x:c r="L165" s="17" t="str">
        <x:v>2.70 metros de diámetro</x:v>
      </x:c>
      <x:c r="M165" s="17" t="str">
        <x:v>Aluminio 100% exterior y loneta Base de piedra de marmol 2.70 metros de diámetro</x:v>
      </x:c>
      <x:c r="N165" s="22" t="str">
        <x:v>pieza</x:v>
      </x:c>
      <x:c r="O165" s="23" t="n">
        <x:v>6990</x:v>
      </x:c>
      <x:c r="P165" s="23" t="n">
        <x:v>7990</x:v>
      </x:c>
      <x:c r="Q165" s="17" t="str">
        <x:v>$7,990 – $6,990</x:v>
      </x:c>
      <x:c r="R165" s="22" t="str">
        <x:v>confirmado</x:v>
      </x:c>
      <x:c r="S165" s="22" t="str">
        <x:v>Sí</x:v>
      </x:c>
      <x:c r="T165" s="24"/>
      <x:c r="U165" s="17" t="str">
        <x:v>https://graph.microsoft.com/v1.0/me/drive/items/01DHXXN7YASXKBZPOLSBHIX2N2T3PB4G2R#page=11</x:v>
      </x:c>
      <x:c r="V165" s="17" t="str">
        <x:v>https://graph.microsoft.com/v1.0/me/drive/items/01DHXXN7YASXKBZPOLSBHIX2N2T3PB4G2R</x:v>
      </x:c>
      <x:c r="W165" s="17" t="str">
        <x:v>5e3906126ff7b5aa4b1609118cf07757d2bd14bd9d7009b605570e26b1a794d7</x:v>
      </x:c>
      <x:c r="X165" s="17" t="str">
        <x:v>SKU no publicado; se conserva una identidad técnica estable.</x:v>
      </x:c>
    </x:row>
    <x:row r="166" ht="34" customHeight="1">
      <x:c r="A166" s="17" t="str">
        <x:v>IDÉLIKA</x:v>
      </x:c>
      <x:c r="B166" s="17" t="str">
        <x:v>Stock</x:v>
      </x:c>
      <x:c r="C166" s="17" t="str">
        <x:v>2 CATALOGO STOCK 2026.pdf</x:v>
      </x:c>
      <x:c r="D166" s="21" t="n">
        <x:v>11</x:v>
      </x:c>
      <x:c r="E166" s="17" t="str">
        <x:v>idelika:stock:sin-sku:363ec1186950952e2688</x:v>
      </x:c>
      <x:c r="F166" s="17"/>
      <x:c r="G166" s="22" t="str">
        <x:v>por_verificar</x:v>
      </x:c>
      <x:c r="H166" s="17" t="str">
        <x:v>Silla Arles</x:v>
      </x:c>
      <x:c r="I166" s="17"/>
      <x:c r="J166" s="17"/>
      <x:c r="K166" s="17" t="str">
        <x:v>Aluminio y polywood</x:v>
      </x:c>
      <x:c r="L166" s="17" t="str">
        <x:v>55*57*84</x:v>
      </x:c>
      <x:c r="M166" s="17" t="str">
        <x:v>Aluminio y polywood 55*57*84</x:v>
      </x:c>
      <x:c r="N166" s="22" t="str">
        <x:v>pieza</x:v>
      </x:c>
      <x:c r="O166" s="23" t="n">
        <x:v>3299</x:v>
      </x:c>
      <x:c r="P166" s="23" t="n">
        <x:v>3799</x:v>
      </x:c>
      <x:c r="Q166" s="17" t="str">
        <x:v>$3,799 – $3,299</x:v>
      </x:c>
      <x:c r="R166" s="22" t="str">
        <x:v>confirmado</x:v>
      </x:c>
      <x:c r="S166" s="22" t="str">
        <x:v>Sí</x:v>
      </x:c>
      <x:c r="T166" s="24"/>
      <x:c r="U166" s="17" t="str">
        <x:v>https://graph.microsoft.com/v1.0/me/drive/items/01DHXXN7YASXKBZPOLSBHIX2N2T3PB4G2R#page=11</x:v>
      </x:c>
      <x:c r="V166" s="17" t="str">
        <x:v>https://graph.microsoft.com/v1.0/me/drive/items/01DHXXN7YASXKBZPOLSBHIX2N2T3PB4G2R</x:v>
      </x:c>
      <x:c r="W166" s="17" t="str">
        <x:v>363ec1186950952e26882b4242bb455810f8e75105d8e7e60cd0691979e57b57</x:v>
      </x:c>
      <x:c r="X166" s="17" t="str">
        <x:v>SKU no publicado; se conserva una identidad técnica estable.</x:v>
      </x:c>
    </x:row>
    <x:row r="167" ht="34" customHeight="1">
      <x:c r="A167" s="17" t="str">
        <x:v>IDÉLIKA</x:v>
      </x:c>
      <x:c r="B167" s="17" t="str">
        <x:v>Stock</x:v>
      </x:c>
      <x:c r="C167" s="17" t="str">
        <x:v>2 CATALOGO STOCK 2026.pdf</x:v>
      </x:c>
      <x:c r="D167" s="21" t="n">
        <x:v>11</x:v>
      </x:c>
      <x:c r="E167" s="17" t="str">
        <x:v>idelika:stock:sin-sku:39122348308f3328116d</x:v>
      </x:c>
      <x:c r="F167" s="17"/>
      <x:c r="G167" s="22" t="str">
        <x:v>por_verificar</x:v>
      </x:c>
      <x:c r="H167" s="17" t="str">
        <x:v>Mesa Arles</x:v>
      </x:c>
      <x:c r="I167" s="17"/>
      <x:c r="J167" s="17"/>
      <x:c r="K167" s="17" t="str">
        <x:v>Aluminio y polywood</x:v>
      </x:c>
      <x:c r="L167" s="17" t="str">
        <x:v>80*80*74 alto</x:v>
      </x:c>
      <x:c r="M167" s="17" t="str">
        <x:v>Aluminio y polywood 80*80*74 alto</x:v>
      </x:c>
      <x:c r="N167" s="22" t="str">
        <x:v>pieza</x:v>
      </x:c>
      <x:c r="O167" s="23" t="n">
        <x:v>5990</x:v>
      </x:c>
      <x:c r="P167" s="23" t="n">
        <x:v>6990</x:v>
      </x:c>
      <x:c r="Q167" s="17" t="str">
        <x:v>$6,990 – $5,990</x:v>
      </x:c>
      <x:c r="R167" s="22" t="str">
        <x:v>confirmado</x:v>
      </x:c>
      <x:c r="S167" s="22" t="str">
        <x:v>Sí</x:v>
      </x:c>
      <x:c r="T167" s="24"/>
      <x:c r="U167" s="17" t="str">
        <x:v>https://graph.microsoft.com/v1.0/me/drive/items/01DHXXN7YASXKBZPOLSBHIX2N2T3PB4G2R#page=11</x:v>
      </x:c>
      <x:c r="V167" s="17" t="str">
        <x:v>https://graph.microsoft.com/v1.0/me/drive/items/01DHXXN7YASXKBZPOLSBHIX2N2T3PB4G2R</x:v>
      </x:c>
      <x:c r="W167" s="17" t="str">
        <x:v>39122348308f3328116d0b7366be60b52f9ba54e7ad38e7b992963dface41f3d</x:v>
      </x:c>
      <x:c r="X167" s="17" t="str">
        <x:v>SKU no publicado; se conserva una identidad técnica estable.</x:v>
      </x:c>
    </x:row>
    <x:row r="168" ht="34" customHeight="1">
      <x:c r="A168" s="17" t="str">
        <x:v>IDÉLIKA</x:v>
      </x:c>
      <x:c r="B168" s="17" t="str">
        <x:v>Stock</x:v>
      </x:c>
      <x:c r="C168" s="17" t="str">
        <x:v>2 CATALOGO STOCK 2026.pdf</x:v>
      </x:c>
      <x:c r="D168" s="21" t="n">
        <x:v>12</x:v>
      </x:c>
      <x:c r="E168" s="17" t="str">
        <x:v>idelika:stock:sin-sku:f50914cfde3ca05ce394</x:v>
      </x:c>
      <x:c r="F168" s="17"/>
      <x:c r="G168" s="22" t="str">
        <x:v>por_verificar</x:v>
      </x:c>
      <x:c r="H168" s="17" t="str">
        <x:v>Silla Nimes</x:v>
      </x:c>
      <x:c r="I168" s="17"/>
      <x:c r="J168" s="17"/>
      <x:c r="K168" s="17" t="str">
        <x:v>Aluminio y whicker</x:v>
      </x:c>
      <x:c r="L168" s="17" t="str">
        <x:v>57*62*90</x:v>
      </x:c>
      <x:c r="M168" s="17" t="str">
        <x:v>Aluminio y whicker 57*62*90</x:v>
      </x:c>
      <x:c r="N168" s="22" t="str">
        <x:v>pieza</x:v>
      </x:c>
      <x:c r="O168" s="23" t="n">
        <x:v>3299</x:v>
      </x:c>
      <x:c r="P168" s="23" t="n">
        <x:v>3799</x:v>
      </x:c>
      <x:c r="Q168" s="17" t="str">
        <x:v>$3,799 – $3,299</x:v>
      </x:c>
      <x:c r="R168" s="22" t="str">
        <x:v>confirmado</x:v>
      </x:c>
      <x:c r="S168" s="22" t="str">
        <x:v>Sí</x:v>
      </x:c>
      <x:c r="T168" s="24"/>
      <x:c r="U168" s="17" t="str">
        <x:v>https://graph.microsoft.com/v1.0/me/drive/items/01DHXXN7YASXKBZPOLSBHIX2N2T3PB4G2R#page=12</x:v>
      </x:c>
      <x:c r="V168" s="17" t="str">
        <x:v>https://graph.microsoft.com/v1.0/me/drive/items/01DHXXN7YASXKBZPOLSBHIX2N2T3PB4G2R</x:v>
      </x:c>
      <x:c r="W168" s="17" t="str">
        <x:v>f50914cfde3ca05ce394669217bcd8aeb7ee960fff56b7d9801006e6f026b7ed</x:v>
      </x:c>
      <x:c r="X168" s="17" t="str">
        <x:v>SKU no publicado; se conserva una identidad técnica estable.</x:v>
      </x:c>
    </x:row>
    <x:row r="169" ht="34" customHeight="1">
      <x:c r="A169" s="17" t="str">
        <x:v>IDÉLIKA</x:v>
      </x:c>
      <x:c r="B169" s="17" t="str">
        <x:v>Stock</x:v>
      </x:c>
      <x:c r="C169" s="17" t="str">
        <x:v>2 CATALOGO STOCK 2026.pdf</x:v>
      </x:c>
      <x:c r="D169" s="21" t="n">
        <x:v>12</x:v>
      </x:c>
      <x:c r="E169" s="17" t="str">
        <x:v>idelika:stock:sin-sku:9890fa7c7665f0db79b3</x:v>
      </x:c>
      <x:c r="F169" s="17"/>
      <x:c r="G169" s="22" t="str">
        <x:v>por_verificar</x:v>
      </x:c>
      <x:c r="H169" s="17" t="str">
        <x:v>Mesa Nimes</x:v>
      </x:c>
      <x:c r="I169" s="17"/>
      <x:c r="J169" s="17"/>
      <x:c r="K169" s="17" t="str">
        <x:v>Aluminio y whicker</x:v>
      </x:c>
      <x:c r="L169" s="17" t="str">
        <x:v>70*70*74 alto</x:v>
      </x:c>
      <x:c r="M169" s="17" t="str">
        <x:v>Aluminio y whicker 70*70*74 alto</x:v>
      </x:c>
      <x:c r="N169" s="22" t="str">
        <x:v>pieza</x:v>
      </x:c>
      <x:c r="O169" s="23" t="n">
        <x:v>4999</x:v>
      </x:c>
      <x:c r="P169" s="23" t="n">
        <x:v>5990</x:v>
      </x:c>
      <x:c r="Q169" s="17" t="str">
        <x:v>$5,990 – $4,999</x:v>
      </x:c>
      <x:c r="R169" s="22" t="str">
        <x:v>confirmado</x:v>
      </x:c>
      <x:c r="S169" s="22" t="str">
        <x:v>Sí</x:v>
      </x:c>
      <x:c r="T169" s="24"/>
      <x:c r="U169" s="17" t="str">
        <x:v>https://graph.microsoft.com/v1.0/me/drive/items/01DHXXN7YASXKBZPOLSBHIX2N2T3PB4G2R#page=12</x:v>
      </x:c>
      <x:c r="V169" s="17" t="str">
        <x:v>https://graph.microsoft.com/v1.0/me/drive/items/01DHXXN7YASXKBZPOLSBHIX2N2T3PB4G2R</x:v>
      </x:c>
      <x:c r="W169" s="17" t="str">
        <x:v>9890fa7c7665f0db79b3e399e17b27630703176c7c25cfb5d73447fc488557d2</x:v>
      </x:c>
      <x:c r="X169" s="17" t="str">
        <x:v>SKU no publicado; se conserva una identidad técnica estable.</x:v>
      </x:c>
    </x:row>
    <x:row r="170" ht="34" customHeight="1">
      <x:c r="A170" s="17" t="str">
        <x:v>IDÉLIKA</x:v>
      </x:c>
      <x:c r="B170" s="17" t="str">
        <x:v>Stock</x:v>
      </x:c>
      <x:c r="C170" s="17" t="str">
        <x:v>2 CATALOGO STOCK 2026.pdf</x:v>
      </x:c>
      <x:c r="D170" s="21" t="n">
        <x:v>12</x:v>
      </x:c>
      <x:c r="E170" s="17" t="str">
        <x:v>idelika:stock:sin-sku:ffae4f0e26d5fe6988a4</x:v>
      </x:c>
      <x:c r="F170" s="17"/>
      <x:c r="G170" s="22" t="str">
        <x:v>por_verificar</x:v>
      </x:c>
      <x:c r="H170" s="17" t="str">
        <x:v>Pergola Motorizada Premium</x:v>
      </x:c>
      <x:c r="I170" s="17"/>
      <x:c r="J170" s="17"/>
      <x:c r="K170" s="17" t="str">
        <x:v>Aluminio y textilene</x:v>
      </x:c>
      <x:c r="L170" s="17" t="str">
        <x:v>600*300*250 alto</x:v>
      </x:c>
      <x:c r="M170" s="17" t="str">
        <x:v>Aluminio y textilene motorizada 600*300*250 alto</x:v>
      </x:c>
      <x:c r="N170" s="22" t="str">
        <x:v>pieza</x:v>
      </x:c>
      <x:c r="O170" s="23" t="n">
        <x:v>149900</x:v>
      </x:c>
      <x:c r="P170" s="23" t="n">
        <x:v>159000</x:v>
      </x:c>
      <x:c r="Q170" s="17" t="str">
        <x:v>$159,000 – $149,900</x:v>
      </x:c>
      <x:c r="R170" s="22" t="str">
        <x:v>confirmado</x:v>
      </x:c>
      <x:c r="S170" s="22" t="str">
        <x:v>Sí</x:v>
      </x:c>
      <x:c r="T170" s="24"/>
      <x:c r="U170" s="17" t="str">
        <x:v>https://graph.microsoft.com/v1.0/me/drive/items/01DHXXN7YASXKBZPOLSBHIX2N2T3PB4G2R#page=12</x:v>
      </x:c>
      <x:c r="V170" s="17" t="str">
        <x:v>https://graph.microsoft.com/v1.0/me/drive/items/01DHXXN7YASXKBZPOLSBHIX2N2T3PB4G2R</x:v>
      </x:c>
      <x:c r="W170" s="17" t="str">
        <x:v>ffae4f0e26d5fe6988a4e147527327b4a7193f6dd0b9979cd7366d56e414f49c</x:v>
      </x:c>
      <x:c r="X170" s="17" t="str">
        <x:v>SKU no publicado; se conserva una identidad técnica estable.</x:v>
      </x:c>
    </x:row>
    <x:row r="171" ht="34" customHeight="1">
      <x:c r="A171" s="17" t="str">
        <x:v>IDÉLIKA</x:v>
      </x:c>
      <x:c r="B171" s="17" t="str">
        <x:v>Stock</x:v>
      </x:c>
      <x:c r="C171" s="17" t="str">
        <x:v>2 CATALOGO STOCK 2026.pdf</x:v>
      </x:c>
      <x:c r="D171" s="21" t="n">
        <x:v>13</x:v>
      </x:c>
      <x:c r="E171" s="17" t="str">
        <x:v>idelika:stock:sin-sku:30175f1288f46626c65f</x:v>
      </x:c>
      <x:c r="F171" s="17"/>
      <x:c r="G171" s="22" t="str">
        <x:v>por_verificar</x:v>
      </x:c>
      <x:c r="H171" s="17" t="str">
        <x:v>Dafne mesa</x:v>
      </x:c>
      <x:c r="I171" s="17"/>
      <x:c r="J171" s="17"/>
      <x:c r="K171" s="17" t="str">
        <x:v>Madera de acacia</x:v>
      </x:c>
      <x:c r="L171" s="17" t="str">
        <x:v>120*75</x:v>
      </x:c>
      <x:c r="M171" s="17" t="str">
        <x:v>Madera de acacia 120*75</x:v>
      </x:c>
      <x:c r="N171" s="22" t="str">
        <x:v>pieza</x:v>
      </x:c>
      <x:c r="O171" s="23" t="n">
        <x:v>11990</x:v>
      </x:c>
      <x:c r="P171" s="23" t="n">
        <x:v>16990</x:v>
      </x:c>
      <x:c r="Q171" s="17" t="str">
        <x:v>$16,990 – $11,990</x:v>
      </x:c>
      <x:c r="R171" s="22" t="str">
        <x:v>confirmado</x:v>
      </x:c>
      <x:c r="S171" s="22" t="str">
        <x:v>Sí</x:v>
      </x:c>
      <x:c r="T171" s="24"/>
      <x:c r="U171" s="17" t="str">
        <x:v>https://graph.microsoft.com/v1.0/me/drive/items/01DHXXN7YASXKBZPOLSBHIX2N2T3PB4G2R#page=13</x:v>
      </x:c>
      <x:c r="V171" s="17" t="str">
        <x:v>https://graph.microsoft.com/v1.0/me/drive/items/01DHXXN7YASXKBZPOLSBHIX2N2T3PB4G2R</x:v>
      </x:c>
      <x:c r="W171" s="17" t="str">
        <x:v>30175f1288f46626c65f2a739b44c42bc313b8d8b4104cfc1f2d0011303ffbaf</x:v>
      </x:c>
      <x:c r="X171" s="17" t="str">
        <x:v>SKU no publicado; se conserva una identidad técnica estable.</x:v>
      </x:c>
    </x:row>
    <x:row r="172" ht="34" customHeight="1">
      <x:c r="A172" s="17" t="str">
        <x:v>IDÉLIKA</x:v>
      </x:c>
      <x:c r="B172" s="17" t="str">
        <x:v>Stock</x:v>
      </x:c>
      <x:c r="C172" s="17" t="str">
        <x:v>2 CATALOGO STOCK 2026.pdf</x:v>
      </x:c>
      <x:c r="D172" s="21" t="n">
        <x:v>13</x:v>
      </x:c>
      <x:c r="E172" s="17" t="str">
        <x:v>idelika:stock:sin-sku:597cfa9eb57d5aeacd0c</x:v>
      </x:c>
      <x:c r="F172" s="17"/>
      <x:c r="G172" s="22" t="str">
        <x:v>por_verificar</x:v>
      </x:c>
      <x:c r="H172" s="17" t="str">
        <x:v>Thianna silla</x:v>
      </x:c>
      <x:c r="I172" s="17"/>
      <x:c r="J172" s="17"/>
      <x:c r="K172" s="17" t="str">
        <x:v>Madera de acacia</x:v>
      </x:c>
      <x:c r="L172" s="17" t="str">
        <x:v>56*52*85 alto</x:v>
      </x:c>
      <x:c r="M172" s="17" t="str">
        <x:v>Madera de acacia 56*52*85 alto</x:v>
      </x:c>
      <x:c r="N172" s="22" t="str">
        <x:v>pieza</x:v>
      </x:c>
      <x:c r="O172" s="23" t="n">
        <x:v>3499</x:v>
      </x:c>
      <x:c r="P172" s="23" t="n">
        <x:v>3990</x:v>
      </x:c>
      <x:c r="Q172" s="17" t="str">
        <x:v>$3,990 – $3,499</x:v>
      </x:c>
      <x:c r="R172" s="22" t="str">
        <x:v>confirmado</x:v>
      </x:c>
      <x:c r="S172" s="22" t="str">
        <x:v>Sí</x:v>
      </x:c>
      <x:c r="T172" s="24"/>
      <x:c r="U172" s="17" t="str">
        <x:v>https://graph.microsoft.com/v1.0/me/drive/items/01DHXXN7YASXKBZPOLSBHIX2N2T3PB4G2R#page=13</x:v>
      </x:c>
      <x:c r="V172" s="17" t="str">
        <x:v>https://graph.microsoft.com/v1.0/me/drive/items/01DHXXN7YASXKBZPOLSBHIX2N2T3PB4G2R</x:v>
      </x:c>
      <x:c r="W172" s="17" t="str">
        <x:v>597cfa9eb57d5aeacd0cb65d0bdd9f06d521dcb439e22dcefcf495e8bbe4ad4f</x:v>
      </x:c>
      <x:c r="X172" s="17" t="str">
        <x:v>SKU no publicado; se conserva una identidad técnica estable.</x:v>
      </x:c>
    </x:row>
    <x:row r="173" ht="34" customHeight="1">
      <x:c r="A173" s="17" t="str">
        <x:v>IDÉLIKA</x:v>
      </x:c>
      <x:c r="B173" s="17" t="str">
        <x:v>Stock</x:v>
      </x:c>
      <x:c r="C173" s="17" t="str">
        <x:v>2 CATALOGO STOCK 2026.pdf</x:v>
      </x:c>
      <x:c r="D173" s="21" t="n">
        <x:v>14</x:v>
      </x:c>
      <x:c r="E173" s="17" t="str">
        <x:v>idelika:stock:sin-sku:72c28eb1f8aa1808e5ee</x:v>
      </x:c>
      <x:c r="F173" s="17"/>
      <x:c r="G173" s="22" t="str">
        <x:v>por_verificar</x:v>
      </x:c>
      <x:c r="H173" s="17" t="str">
        <x:v>silla</x:v>
      </x:c>
      <x:c r="I173" s="17"/>
      <x:c r="J173" s="17"/>
      <x:c r="K173" s="17" t="str">
        <x:v>Polipropileno y cuerda</x:v>
      </x:c>
      <x:c r="L173" s="17" t="str">
        <x:v>54*55*78 alto</x:v>
      </x:c>
      <x:c r="M173" s="17" t="str">
        <x:v>Polipropileno y cuerda 54*55*78 alto</x:v>
      </x:c>
      <x:c r="N173" s="22" t="str">
        <x:v>pieza</x:v>
      </x:c>
      <x:c r="O173" s="23" t="n">
        <x:v>1999</x:v>
      </x:c>
      <x:c r="P173" s="23" t="n">
        <x:v>2990</x:v>
      </x:c>
      <x:c r="Q173" s="17" t="str">
        <x:v>$2,990 – $1,999</x:v>
      </x:c>
      <x:c r="R173" s="22" t="str">
        <x:v>confirmado</x:v>
      </x:c>
      <x:c r="S173" s="22" t="str">
        <x:v>Sí</x:v>
      </x:c>
      <x:c r="T173" s="24"/>
      <x:c r="U173" s="17" t="str">
        <x:v>https://graph.microsoft.com/v1.0/me/drive/items/01DHXXN7YASXKBZPOLSBHIX2N2T3PB4G2R#page=14</x:v>
      </x:c>
      <x:c r="V173" s="17" t="str">
        <x:v>https://graph.microsoft.com/v1.0/me/drive/items/01DHXXN7YASXKBZPOLSBHIX2N2T3PB4G2R</x:v>
      </x:c>
      <x:c r="W173" s="17" t="str">
        <x:v>72c28eb1f8aa1808e5eeaafa3d82a0c4b8698288730cb144ee037eab65862c59</x:v>
      </x:c>
      <x:c r="X173" s="17" t="str">
        <x:v>SKU no publicado; se conserva una identidad técnica estable.</x:v>
      </x:c>
    </x:row>
    <x:row r="174" ht="34" customHeight="1">
      <x:c r="A174" s="17" t="str">
        <x:v>IDÉLIKA</x:v>
      </x:c>
      <x:c r="B174" s="17" t="str">
        <x:v>Stock</x:v>
      </x:c>
      <x:c r="C174" s="17" t="str">
        <x:v>2 CATALOGO STOCK 2026.pdf</x:v>
      </x:c>
      <x:c r="D174" s="21" t="n">
        <x:v>15</x:v>
      </x:c>
      <x:c r="E174" s="17" t="str">
        <x:v>idelika:stock:sin-sku:9befd7ce6fd7ec7f5363</x:v>
      </x:c>
      <x:c r="F174" s="17"/>
      <x:c r="G174" s="22" t="str">
        <x:v>por_verificar</x:v>
      </x:c>
      <x:c r="H174" s="17" t="str">
        <x:v>Pelikan mesa</x:v>
      </x:c>
      <x:c r="I174" s="17" t="str">
        <x:v>Pelikan</x:v>
      </x:c>
      <x:c r="J174" s="17"/>
      <x:c r="K174" s="17" t="str">
        <x:v>Aluminio y cristal</x:v>
      </x:c>
      <x:c r="L174" s="17" t="str">
        <x:v>45*47*49</x:v>
      </x:c>
      <x:c r="M174" s="17" t="str">
        <x:v>Aluminio y cristal 45*47*49 Calidad contract (uso rudo)</x:v>
      </x:c>
      <x:c r="N174" s="22" t="str">
        <x:v>pieza</x:v>
      </x:c>
      <x:c r="O174" s="23" t="n">
        <x:v>3499</x:v>
      </x:c>
      <x:c r="P174" s="23" t="n">
        <x:v>3999</x:v>
      </x:c>
      <x:c r="Q174" s="17" t="str">
        <x:v>$3,499 – $3,999</x:v>
      </x:c>
      <x:c r="R174" s="22" t="str">
        <x:v>confirmado</x:v>
      </x:c>
      <x:c r="S174" s="22" t="str">
        <x:v>Sí</x:v>
      </x:c>
      <x:c r="T174" s="24"/>
      <x:c r="U174" s="17" t="str">
        <x:v>https://graph.microsoft.com/v1.0/me/drive/items/01DHXXN7YASXKBZPOLSBHIX2N2T3PB4G2R#page=15</x:v>
      </x:c>
      <x:c r="V174" s="17" t="str">
        <x:v>https://graph.microsoft.com/v1.0/me/drive/items/01DHXXN7YASXKBZPOLSBHIX2N2T3PB4G2R</x:v>
      </x:c>
      <x:c r="W174" s="17" t="str">
        <x:v>9befd7ce6fd7ec7f5363b5979186500026145d924c350b21c97dca9103c01eb6</x:v>
      </x:c>
      <x:c r="X174" s="17" t="str">
        <x:v>SKU no publicado; se conserva una identidad técnica estable.</x:v>
      </x:c>
    </x:row>
    <x:row r="175" ht="34" customHeight="1">
      <x:c r="A175" s="17" t="str">
        <x:v>IDÉLIKA</x:v>
      </x:c>
      <x:c r="B175" s="17" t="str">
        <x:v>Stock</x:v>
      </x:c>
      <x:c r="C175" s="17" t="str">
        <x:v>2 CATALOGO STOCK 2026.pdf</x:v>
      </x:c>
      <x:c r="D175" s="21" t="n">
        <x:v>17</x:v>
      </x:c>
      <x:c r="E175" s="17" t="str">
        <x:v>idelika:stock:sin-sku:5765fa0e3438a613d206</x:v>
      </x:c>
      <x:c r="F175" s="17"/>
      <x:c r="G175" s="22" t="str">
        <x:v>por_verificar</x:v>
      </x:c>
      <x:c r="H175" s="17" t="str">
        <x:v>Sadirar mesa plegable</x:v>
      </x:c>
      <x:c r="I175" s="17" t="str">
        <x:v>balcón</x:v>
      </x:c>
      <x:c r="J175" s="17"/>
      <x:c r="K175" s="17" t="str">
        <x:v>Madera maciza de</x:v>
      </x:c>
      <x:c r="L175" s="17" t="str">
        <x:v>76*70*70</x:v>
      </x:c>
      <x:c r="M175" s="17" t="str">
        <x:v>Madera maciza de teka 76*70*70</x:v>
      </x:c>
      <x:c r="N175" s="22" t="str">
        <x:v>pieza</x:v>
      </x:c>
      <x:c r="O175" s="23" t="n">
        <x:v>4999</x:v>
      </x:c>
      <x:c r="P175" s="23" t="n">
        <x:v>5990</x:v>
      </x:c>
      <x:c r="Q175" s="17" t="str">
        <x:v>$5,990 – $4,999</x:v>
      </x:c>
      <x:c r="R175" s="22" t="str">
        <x:v>confirmado</x:v>
      </x:c>
      <x:c r="S175" s="22" t="str">
        <x:v>Sí</x:v>
      </x:c>
      <x:c r="T175" s="24"/>
      <x:c r="U175" s="17" t="str">
        <x:v>https://graph.microsoft.com/v1.0/me/drive/items/01DHXXN7YASXKBZPOLSBHIX2N2T3PB4G2R#page=17</x:v>
      </x:c>
      <x:c r="V175" s="17" t="str">
        <x:v>https://graph.microsoft.com/v1.0/me/drive/items/01DHXXN7YASXKBZPOLSBHIX2N2T3PB4G2R</x:v>
      </x:c>
      <x:c r="W175" s="17" t="str">
        <x:v>5765fa0e3438a613d2065b03121e5509a505a6a96234cde27ee6783307ccad04</x:v>
      </x:c>
      <x:c r="X175" s="17" t="str">
        <x:v>SKU no publicado; se conserva una identidad técnica estable.</x:v>
      </x:c>
    </x:row>
    <x:row r="176" ht="34" customHeight="1">
      <x:c r="A176" s="17" t="str">
        <x:v>IDÉLIKA</x:v>
      </x:c>
      <x:c r="B176" s="17" t="str">
        <x:v>Stock</x:v>
      </x:c>
      <x:c r="C176" s="17" t="str">
        <x:v>2 CATALOGO STOCK 2026.pdf</x:v>
      </x:c>
      <x:c r="D176" s="21" t="n">
        <x:v>19</x:v>
      </x:c>
      <x:c r="E176" s="17" t="str">
        <x:v>idelika:stock:sin-sku:51cc8175a9b16e4c2d5b</x:v>
      </x:c>
      <x:c r="F176" s="17"/>
      <x:c r="G176" s="22" t="str">
        <x:v>por_verificar</x:v>
      </x:c>
      <x:c r="H176" s="17" t="str">
        <x:v>Caterin camastro beige o gris</x:v>
      </x:c>
      <x:c r="I176" s="17"/>
      <x:c r="J176" s="17"/>
      <x:c r="K176" s="17" t="str">
        <x:v>Madera maciza de acacia</x:v>
      </x:c>
      <x:c r="L176" s="17" t="str">
        <x:v>200*70*37</x:v>
      </x:c>
      <x:c r="M176" s="17" t="str">
        <x:v>Madera maciza de acacia 200*70*37</x:v>
      </x:c>
      <x:c r="N176" s="22" t="str">
        <x:v>pieza</x:v>
      </x:c>
      <x:c r="O176" s="23" t="n">
        <x:v>11990</x:v>
      </x:c>
      <x:c r="P176" s="23" t="n">
        <x:v>13499</x:v>
      </x:c>
      <x:c r="Q176" s="17" t="str">
        <x:v>$13,499 - $11,990</x:v>
      </x:c>
      <x:c r="R176" s="22" t="str">
        <x:v>confirmado</x:v>
      </x:c>
      <x:c r="S176" s="22" t="str">
        <x:v>Sí</x:v>
      </x:c>
      <x:c r="T176" s="24"/>
      <x:c r="U176" s="17" t="str">
        <x:v>https://graph.microsoft.com/v1.0/me/drive/items/01DHXXN7YASXKBZPOLSBHIX2N2T3PB4G2R#page=19</x:v>
      </x:c>
      <x:c r="V176" s="17" t="str">
        <x:v>https://graph.microsoft.com/v1.0/me/drive/items/01DHXXN7YASXKBZPOLSBHIX2N2T3PB4G2R</x:v>
      </x:c>
      <x:c r="W176" s="17" t="str">
        <x:v>51cc8175a9b16e4c2d5b8dd33c50fe71a6308a70e0f9b3098e3cdad886ffc859</x:v>
      </x:c>
      <x:c r="X176" s="17" t="str">
        <x:v>SKU no publicado; se conserva una identidad técnica estable.</x:v>
      </x:c>
    </x:row>
    <x:row r="177" ht="34" customHeight="1">
      <x:c r="A177" s="17" t="str">
        <x:v>IDÉLIKA</x:v>
      </x:c>
      <x:c r="B177" s="17" t="str">
        <x:v>Stock</x:v>
      </x:c>
      <x:c r="C177" s="17" t="str">
        <x:v>2 CATALOGO STOCK 2026.pdf</x:v>
      </x:c>
      <x:c r="D177" s="21" t="n">
        <x:v>19</x:v>
      </x:c>
      <x:c r="E177" s="17" t="str">
        <x:v>idelika:stock:sin-sku:eb745dfb344ad322a774</x:v>
      </x:c>
      <x:c r="F177" s="17"/>
      <x:c r="G177" s="22" t="str">
        <x:v>por_verificar</x:v>
      </x:c>
      <x:c r="H177" s="17" t="str">
        <x:v>Beila Camastro</x:v>
      </x:c>
      <x:c r="I177" s="17"/>
      <x:c r="J177" s="17"/>
      <x:c r="K177" s="17" t="str">
        <x:v>Madera de teca</x:v>
      </x:c>
      <x:c r="L177" s="17" t="str">
        <x:v>180*65*29</x:v>
      </x:c>
      <x:c r="M177" s="17" t="str">
        <x:v>Madera de teca 180*65*29</x:v>
      </x:c>
      <x:c r="N177" s="22" t="str">
        <x:v>pieza</x:v>
      </x:c>
      <x:c r="O177" s="23" t="n">
        <x:v>10990</x:v>
      </x:c>
      <x:c r="P177" s="23" t="n">
        <x:v>13990</x:v>
      </x:c>
      <x:c r="Q177" s="17" t="str">
        <x:v>$13,990 – $10,990</x:v>
      </x:c>
      <x:c r="R177" s="22" t="str">
        <x:v>confirmado</x:v>
      </x:c>
      <x:c r="S177" s="22" t="str">
        <x:v>Sí</x:v>
      </x:c>
      <x:c r="T177" s="24"/>
      <x:c r="U177" s="17" t="str">
        <x:v>https://graph.microsoft.com/v1.0/me/drive/items/01DHXXN7YASXKBZPOLSBHIX2N2T3PB4G2R#page=19</x:v>
      </x:c>
      <x:c r="V177" s="17" t="str">
        <x:v>https://graph.microsoft.com/v1.0/me/drive/items/01DHXXN7YASXKBZPOLSBHIX2N2T3PB4G2R</x:v>
      </x:c>
      <x:c r="W177" s="17" t="str">
        <x:v>eb745dfb344ad322a774e0cfaf63a3a88e7ad32d3fd409b66a8a36c2f21def0c</x:v>
      </x:c>
      <x:c r="X177" s="17" t="str">
        <x:v>SKU no publicado; se conserva una identidad técnica estable.</x:v>
      </x:c>
    </x:row>
    <x:row r="178" ht="34" customHeight="1">
      <x:c r="A178" s="17" t="str">
        <x:v>IDÉLIKA</x:v>
      </x:c>
      <x:c r="B178" s="17" t="str">
        <x:v>Stock</x:v>
      </x:c>
      <x:c r="C178" s="17" t="str">
        <x:v>2 CATALOGO STOCK 2026.pdf</x:v>
      </x:c>
      <x:c r="D178" s="21" t="n">
        <x:v>19</x:v>
      </x:c>
      <x:c r="E178" s="17" t="str">
        <x:v>idelika:stock:sin-sku:bf71e47cf1df15dec65b</x:v>
      </x:c>
      <x:c r="F178" s="17"/>
      <x:c r="G178" s="22" t="str">
        <x:v>por_verificar</x:v>
      </x:c>
      <x:c r="H178" s="17" t="str">
        <x:v>Amel mesa</x:v>
      </x:c>
      <x:c r="I178" s="17"/>
      <x:c r="J178" s="17"/>
      <x:c r="K178" s="17" t="str">
        <x:v>Madera de acacia</x:v>
      </x:c>
      <x:c r="L178" s="17" t="str">
        <x:v>46*31*31</x:v>
      </x:c>
      <x:c r="M178" s="17" t="str">
        <x:v>Madera de acacia 46*31*31</x:v>
      </x:c>
      <x:c r="N178" s="22" t="str">
        <x:v>pieza</x:v>
      </x:c>
      <x:c r="O178" s="23" t="n">
        <x:v>2499</x:v>
      </x:c>
      <x:c r="P178" s="23" t="n">
        <x:v>2699</x:v>
      </x:c>
      <x:c r="Q178" s="17" t="str">
        <x:v>$2,699 – $2,499</x:v>
      </x:c>
      <x:c r="R178" s="22" t="str">
        <x:v>confirmado</x:v>
      </x:c>
      <x:c r="S178" s="22" t="str">
        <x:v>Sí</x:v>
      </x:c>
      <x:c r="T178" s="24"/>
      <x:c r="U178" s="17" t="str">
        <x:v>https://graph.microsoft.com/v1.0/me/drive/items/01DHXXN7YASXKBZPOLSBHIX2N2T3PB4G2R#page=19</x:v>
      </x:c>
      <x:c r="V178" s="17" t="str">
        <x:v>https://graph.microsoft.com/v1.0/me/drive/items/01DHXXN7YASXKBZPOLSBHIX2N2T3PB4G2R</x:v>
      </x:c>
      <x:c r="W178" s="17" t="str">
        <x:v>bf71e47cf1df15dec65b4714a3e3bef546c39f6ea379e4b8c586e017188ba6df</x:v>
      </x:c>
      <x:c r="X178" s="17" t="str">
        <x:v>SKU no publicado; se conserva una identidad técnica estable.</x:v>
      </x:c>
    </x:row>
    <x:row r="179" ht="34" customHeight="1">
      <x:c r="A179" s="17" t="str">
        <x:v>IDÉLIKA</x:v>
      </x:c>
      <x:c r="B179" s="17" t="str">
        <x:v>Stock</x:v>
      </x:c>
      <x:c r="C179" s="17" t="str">
        <x:v>2 CATALOGO STOCK 2026.pdf</x:v>
      </x:c>
      <x:c r="D179" s="21" t="n">
        <x:v>20</x:v>
      </x:c>
      <x:c r="E179" s="17" t="str">
        <x:v>idelika:stock:sin-sku:2786bceb847b4b9152bf</x:v>
      </x:c>
      <x:c r="F179" s="17"/>
      <x:c r="G179" s="22" t="str">
        <x:v>por_verificar</x:v>
      </x:c>
      <x:c r="H179" s="17" t="str">
        <x:v>Set Alabe Sofá + mesa + 2 sillones</x:v>
      </x:c>
      <x:c r="I179" s="17" t="str">
        <x:v>y sus</x:v>
      </x:c>
      <x:c r="J179" s="17"/>
      <x:c r="K179" s="17" t="str">
        <x:v>Madera de acacia, Mimbre sintético Tela polyester son la madera de</x:v>
      </x:c>
      <x:c r="L179" s="17" t="str">
        <x:v>91*55*36 mesa</x:v>
      </x:c>
      <x:c r="M179" s="17" t="str">
        <x:v>Madera de acacia, Mimbre sintético Tela polyester 127*76*62 sofá 66*76*62 sillón 91*55*36 mesa Las aguas del océano Índico se fusionan con Los acentos y la textura de esta Materiales, como lo son la madera de Acacia, La madera de Teca y nos regalan detalles únicos con tonalidades y formas irrepetibles. Toda nuestra basada en la sostenibilidad. Su principal valor es la preservación de nuestro entorno natural, solicita si tu proyecto Lo requiere las certificaciones. Y si tu necesidad es en tu hogar, consiéntete… Amarse a sí mismo, es el comienzo de una Aventura que dura toda la vida….</x:v>
      </x:c>
      <x:c r="N179" s="22" t="str">
        <x:v>pieza</x:v>
      </x:c>
      <x:c r="O179" s="23" t="n">
        <x:v>39990</x:v>
      </x:c>
      <x:c r="P179" s="23" t="n">
        <x:v>49499</x:v>
      </x:c>
      <x:c r="Q179" s="17" t="str">
        <x:v>$49,499 – $39,990</x:v>
      </x:c>
      <x:c r="R179" s="22" t="str">
        <x:v>confirmado</x:v>
      </x:c>
      <x:c r="S179" s="22" t="str">
        <x:v>Sí</x:v>
      </x:c>
      <x:c r="T179" s="24"/>
      <x:c r="U179" s="17" t="str">
        <x:v>https://graph.microsoft.com/v1.0/me/drive/items/01DHXXN7YASXKBZPOLSBHIX2N2T3PB4G2R#page=20</x:v>
      </x:c>
      <x:c r="V179" s="17" t="str">
        <x:v>https://graph.microsoft.com/v1.0/me/drive/items/01DHXXN7YASXKBZPOLSBHIX2N2T3PB4G2R</x:v>
      </x:c>
      <x:c r="W179" s="17" t="str">
        <x:v>2786bceb847b4b9152bfc0c2d55eaef2b4a553210c5ffc9fae2fa08b8fa59b7e</x:v>
      </x:c>
      <x:c r="X179" s="17" t="str">
        <x:v>SKU no publicado; se conserva una identidad técnica estable.</x:v>
      </x:c>
    </x:row>
    <x:row r="180" ht="34" customHeight="1">
      <x:c r="A180" s="17" t="str">
        <x:v>IDÉLIKA</x:v>
      </x:c>
      <x:c r="B180" s="17" t="str">
        <x:v>Stock</x:v>
      </x:c>
      <x:c r="C180" s="17" t="str">
        <x:v>2 CATALOGO STOCK 2026.pdf</x:v>
      </x:c>
      <x:c r="D180" s="21" t="n">
        <x:v>20</x:v>
      </x:c>
      <x:c r="E180" s="17" t="str">
        <x:v>idelika:stock:sin-sku:78dccb9455fdc36cd6d8</x:v>
      </x:c>
      <x:c r="F180" s="17"/>
      <x:c r="G180" s="22" t="str">
        <x:v>por_verificar</x:v>
      </x:c>
      <x:c r="H180" s="17" t="str">
        <x:v>Felisa mesa auxiliar</x:v>
      </x:c>
      <x:c r="I180" s="17" t="str">
        <x:v>y sus</x:v>
      </x:c>
      <x:c r="J180" s="17"/>
      <x:c r="K180" s="17" t="str">
        <x:v>Madera de teca</x:v>
      </x:c>
      <x:c r="L180" s="17" t="str">
        <x:v>55*73*82</x:v>
      </x:c>
      <x:c r="M180" s="17" t="str">
        <x:v>Madera de teca 55*73*82</x:v>
      </x:c>
      <x:c r="N180" s="22" t="str">
        <x:v>pieza</x:v>
      </x:c>
      <x:c r="O180" s="23" t="n">
        <x:v>4999</x:v>
      </x:c>
      <x:c r="P180" s="23" t="n">
        <x:v>5499</x:v>
      </x:c>
      <x:c r="Q180" s="17" t="str">
        <x:v>$5,499 - $4,999</x:v>
      </x:c>
      <x:c r="R180" s="22" t="str">
        <x:v>confirmado</x:v>
      </x:c>
      <x:c r="S180" s="22" t="str">
        <x:v>Sí</x:v>
      </x:c>
      <x:c r="T180" s="24"/>
      <x:c r="U180" s="17" t="str">
        <x:v>https://graph.microsoft.com/v1.0/me/drive/items/01DHXXN7YASXKBZPOLSBHIX2N2T3PB4G2R#page=20</x:v>
      </x:c>
      <x:c r="V180" s="17" t="str">
        <x:v>https://graph.microsoft.com/v1.0/me/drive/items/01DHXXN7YASXKBZPOLSBHIX2N2T3PB4G2R</x:v>
      </x:c>
      <x:c r="W180" s="17" t="str">
        <x:v>78dccb9455fdc36cd6d8cf8286c87e37466ee72d45a9717d64b9a991f20bf4f0</x:v>
      </x:c>
      <x:c r="X180" s="17" t="str">
        <x:v>SKU no publicado; se conserva una identidad técnica estable.</x:v>
      </x:c>
    </x:row>
    <x:row r="181" ht="34" customHeight="1">
      <x:c r="A181" s="17" t="str">
        <x:v>IDÉLIKA</x:v>
      </x:c>
      <x:c r="B181" s="17" t="str">
        <x:v>Stock</x:v>
      </x:c>
      <x:c r="C181" s="17" t="str">
        <x:v>2 CATALOGO STOCK 2026.pdf</x:v>
      </x:c>
      <x:c r="D181" s="21" t="n">
        <x:v>21</x:v>
      </x:c>
      <x:c r="E181" s="17" t="str">
        <x:v>idelika:stock:sin-sku:fe8600b44129b083840c</x:v>
      </x:c>
      <x:c r="F181" s="17"/>
      <x:c r="G181" s="22" t="str">
        <x:v>por_verificar</x:v>
      </x:c>
      <x:c r="H181" s="17" t="str">
        <x:v>Sono mesa alta</x:v>
      </x:c>
      <x:c r="I181" s="17"/>
      <x:c r="J181" s="17"/>
      <x:c r="K181" s="17" t="str">
        <x:v>Madera de Acacia Acero negro galvanizado</x:v>
      </x:c>
      <x:c r="L181" s="17" t="str">
        <x:v>140*60*105</x:v>
      </x:c>
      <x:c r="M181" s="17" t="str">
        <x:v>Madera de Acacia Acero negro galvanizado Uso exterior bajo techo 140*60*105</x:v>
      </x:c>
      <x:c r="N181" s="22" t="str">
        <x:v>pieza</x:v>
      </x:c>
      <x:c r="O181" s="23" t="n">
        <x:v>19990</x:v>
      </x:c>
      <x:c r="P181" s="23" t="n">
        <x:v>21990</x:v>
      </x:c>
      <x:c r="Q181" s="17" t="str">
        <x:v>$21,990 – $19,990</x:v>
      </x:c>
      <x:c r="R181" s="22" t="str">
        <x:v>confirmado</x:v>
      </x:c>
      <x:c r="S181" s="22" t="str">
        <x:v>Sí</x:v>
      </x:c>
      <x:c r="T181" s="24"/>
      <x:c r="U181" s="17" t="str">
        <x:v>https://graph.microsoft.com/v1.0/me/drive/items/01DHXXN7YASXKBZPOLSBHIX2N2T3PB4G2R#page=21</x:v>
      </x:c>
      <x:c r="V181" s="17" t="str">
        <x:v>https://graph.microsoft.com/v1.0/me/drive/items/01DHXXN7YASXKBZPOLSBHIX2N2T3PB4G2R</x:v>
      </x:c>
      <x:c r="W181" s="17" t="str">
        <x:v>fe8600b44129b083840c5946adbbfc289fc1cd915c64355f0e6a02289a231f8c</x:v>
      </x:c>
      <x:c r="X181" s="17" t="str">
        <x:v>SKU no publicado; se conserva una identidad técnica estable.</x:v>
      </x:c>
    </x:row>
    <x:row r="182" ht="34" customHeight="1">
      <x:c r="A182" s="17" t="str">
        <x:v>IDÉLIKA</x:v>
      </x:c>
      <x:c r="B182" s="17" t="str">
        <x:v>Stock</x:v>
      </x:c>
      <x:c r="C182" s="17" t="str">
        <x:v>2 CATALOGO STOCK 2026.pdf</x:v>
      </x:c>
      <x:c r="D182" s="21" t="n">
        <x:v>22</x:v>
      </x:c>
      <x:c r="E182" s="17" t="str">
        <x:v>idelika:stock:sin-sku:eae7a8153a1279007015</x:v>
      </x:c>
      <x:c r="F182" s="17"/>
      <x:c r="G182" s="22" t="str">
        <x:v>por_verificar</x:v>
      </x:c>
      <x:c r="H182" s="17" t="str">
        <x:v>Cosm alfombra</x:v>
      </x:c>
      <x:c r="I182" s="17"/>
      <x:c r="J182" s="17"/>
      <x:c r="K182" s="17" t="str">
        <x:v>Yute</x:v>
      </x:c>
      <x:c r="L182" s="17" t="str">
        <x:v>150 diámetro</x:v>
      </x:c>
      <x:c r="M182" s="17" t="str">
        <x:v>Yute 150 diámetro</x:v>
      </x:c>
      <x:c r="N182" s="22" t="str">
        <x:v>pieza</x:v>
      </x:c>
      <x:c r="O182" s="23" t="n">
        <x:v>3999</x:v>
      </x:c>
      <x:c r="P182" s="23" t="n">
        <x:v>4499</x:v>
      </x:c>
      <x:c r="Q182" s="17" t="str">
        <x:v>$4,499 - $3,999</x:v>
      </x:c>
      <x:c r="R182" s="22" t="str">
        <x:v>confirmado</x:v>
      </x:c>
      <x:c r="S182" s="22" t="str">
        <x:v>Sí</x:v>
      </x:c>
      <x:c r="T182" s="24"/>
      <x:c r="U182" s="17" t="str">
        <x:v>https://graph.microsoft.com/v1.0/me/drive/items/01DHXXN7YASXKBZPOLSBHIX2N2T3PB4G2R#page=22</x:v>
      </x:c>
      <x:c r="V182" s="17" t="str">
        <x:v>https://graph.microsoft.com/v1.0/me/drive/items/01DHXXN7YASXKBZPOLSBHIX2N2T3PB4G2R</x:v>
      </x:c>
      <x:c r="W182" s="17" t="str">
        <x:v>eae7a8153a12790070150fc95de696deaaf1940013b45f709f3c9ede7021660d</x:v>
      </x:c>
      <x:c r="X182" s="17" t="str">
        <x:v>SKU no publicado; se conserva una identidad técnica estable.</x:v>
      </x:c>
    </x:row>
    <x:row r="183" ht="34" customHeight="1">
      <x:c r="A183" s="17" t="str">
        <x:v>IDÉLIKA</x:v>
      </x:c>
      <x:c r="B183" s="17" t="str">
        <x:v>Stock</x:v>
      </x:c>
      <x:c r="C183" s="17" t="str">
        <x:v>2 CATALOGO STOCK 2026.pdf</x:v>
      </x:c>
      <x:c r="D183" s="21" t="n">
        <x:v>22</x:v>
      </x:c>
      <x:c r="E183" s="17" t="str">
        <x:v>idelika:stock:sin-sku:81c8cf37836ccb8a9240</x:v>
      </x:c>
      <x:c r="F183" s="17"/>
      <x:c r="G183" s="22" t="str">
        <x:v>por_verificar</x:v>
      </x:c>
      <x:c r="H183" s="17" t="str">
        <x:v>Siria alfombra</x:v>
      </x:c>
      <x:c r="I183" s="17"/>
      <x:c r="J183" s="17"/>
      <x:c r="K183" s="17" t="str">
        <x:v>Yute</x:v>
      </x:c>
      <x:c r="L183" s="17" t="str">
        <x:v>160*230</x:v>
      </x:c>
      <x:c r="M183" s="17" t="str">
        <x:v>Yute 160*230</x:v>
      </x:c>
      <x:c r="N183" s="22" t="str">
        <x:v>pieza</x:v>
      </x:c>
      <x:c r="O183" s="23" t="n">
        <x:v>5999</x:v>
      </x:c>
      <x:c r="P183" s="23" t="n">
        <x:v>6499</x:v>
      </x:c>
      <x:c r="Q183" s="17" t="str">
        <x:v>$6,499 - $5,999</x:v>
      </x:c>
      <x:c r="R183" s="22" t="str">
        <x:v>confirmado</x:v>
      </x:c>
      <x:c r="S183" s="22" t="str">
        <x:v>Sí</x:v>
      </x:c>
      <x:c r="T183" s="24"/>
      <x:c r="U183" s="17" t="str">
        <x:v>https://graph.microsoft.com/v1.0/me/drive/items/01DHXXN7YASXKBZPOLSBHIX2N2T3PB4G2R#page=22</x:v>
      </x:c>
      <x:c r="V183" s="17" t="str">
        <x:v>https://graph.microsoft.com/v1.0/me/drive/items/01DHXXN7YASXKBZPOLSBHIX2N2T3PB4G2R</x:v>
      </x:c>
      <x:c r="W183" s="17" t="str">
        <x:v>81c8cf37836ccb8a92405231592aeac0e314ab40c3009c0416c2af9bcf1d0ea9</x:v>
      </x:c>
      <x:c r="X183" s="17" t="str">
        <x:v>SKU no publicado; se conserva una identidad técnica estable.</x:v>
      </x:c>
    </x:row>
    <x:row r="184" ht="34" customHeight="1">
      <x:c r="A184" s="17" t="str">
        <x:v>IDÉLIKA</x:v>
      </x:c>
      <x:c r="B184" s="17" t="str">
        <x:v>Stock</x:v>
      </x:c>
      <x:c r="C184" s="17" t="str">
        <x:v>2 CATALOGO STOCK 2026.pdf</x:v>
      </x:c>
      <x:c r="D184" s="21" t="n">
        <x:v>23</x:v>
      </x:c>
      <x:c r="E184" s="17" t="str">
        <x:v>idelika:stock:sin-sku:9b815906d806738e82a5</x:v>
      </x:c>
      <x:c r="F184" s="17"/>
      <x:c r="G184" s="22" t="str">
        <x:v>por_verificar</x:v>
      </x:c>
      <x:c r="H184" s="17" t="str">
        <x:v>Set Pola Sofá + 2 sillones</x:v>
      </x:c>
      <x:c r="I184" s="17" t="str">
        <x:v>Premium</x:v>
      </x:c>
      <x:c r="J184" s="17"/>
      <x:c r="K184" s="17" t="str">
        <x:v>Madera de acacia, Mimbre sintético Tela polyester Madera de acacia,</x:v>
      </x:c>
      <x:c r="L184" s="17" t="str">
        <x:v>77*78*75 sillón</x:v>
      </x:c>
      <x:c r="M184" s="17" t="str">
        <x:v>Madera de acacia, Mimbre sintético Tela polyester 176*78*75 sofá 77*78*75 sillón (no incluye mesa) Pola mesas auxiliares Madera de acacia, terrazo 84*38 alto centro 54*48 alto lateral</x:v>
      </x:c>
      <x:c r="N184" s="22" t="str">
        <x:v>pieza</x:v>
      </x:c>
      <x:c r="O184" s="23" t="n">
        <x:v>39990</x:v>
      </x:c>
      <x:c r="P184" s="23" t="n">
        <x:v>49499</x:v>
      </x:c>
      <x:c r="Q184" s="17" t="str">
        <x:v>$49,499 – $39,990</x:v>
      </x:c>
      <x:c r="R184" s="22" t="str">
        <x:v>confirmado</x:v>
      </x:c>
      <x:c r="S184" s="22" t="str">
        <x:v>Sí</x:v>
      </x:c>
      <x:c r="T184" s="24"/>
      <x:c r="U184" s="17" t="str">
        <x:v>https://graph.microsoft.com/v1.0/me/drive/items/01DHXXN7YASXKBZPOLSBHIX2N2T3PB4G2R#page=23</x:v>
      </x:c>
      <x:c r="V184" s="17" t="str">
        <x:v>https://graph.microsoft.com/v1.0/me/drive/items/01DHXXN7YASXKBZPOLSBHIX2N2T3PB4G2R</x:v>
      </x:c>
      <x:c r="W184" s="17" t="str">
        <x:v>9b815906d806738e82a550b711f2fbe0458d0195c1e8af2c77665c38cedd74a0</x:v>
      </x:c>
      <x:c r="X184" s="17" t="str">
        <x:v>SKU no publicado; se conserva una identidad técnica estable.</x:v>
      </x:c>
    </x:row>
    <x:row r="185" ht="34" customHeight="1">
      <x:c r="A185" s="17" t="str">
        <x:v>IDÉLIKA</x:v>
      </x:c>
      <x:c r="B185" s="17" t="str">
        <x:v>Stock</x:v>
      </x:c>
      <x:c r="C185" s="17" t="str">
        <x:v>2 CATALOGO STOCK 2026.pdf</x:v>
      </x:c>
      <x:c r="D185" s="21" t="n">
        <x:v>24</x:v>
      </x:c>
      <x:c r="E185" s="17" t="str">
        <x:v>idelika:stock:sin-sku:109cd454e89e15320251</x:v>
      </x:c>
      <x:c r="F185" s="17"/>
      <x:c r="G185" s="22" t="str">
        <x:v>por_verificar</x:v>
      </x:c>
      <x:c r="H185" s="17" t="str">
        <x:v>Set Vellana</x:v>
      </x:c>
      <x:c r="I185" s="17" t="str">
        <x:v>Premium</x:v>
      </x:c>
      <x:c r="J185" s="17"/>
      <x:c r="K185" s="17" t="str">
        <x:v>Madera Maciza de acacia y cuerda</x:v>
      </x:c>
      <x:c r="L185" s="17" t="str">
        <x:v>130*70*33 mesa</x:v>
      </x:c>
      <x:c r="M185" s="17" t="str">
        <x:v>Madera Maciza de acacia y cuerda 78*220*73 sofá 78*92*73 sillón 130*70*33 mesa (incluye mesa)</x:v>
      </x:c>
      <x:c r="N185" s="22" t="str">
        <x:v>pieza</x:v>
      </x:c>
      <x:c r="O185" s="23" t="n">
        <x:v>69990</x:v>
      </x:c>
      <x:c r="P185" s="23" t="n">
        <x:v>79990</x:v>
      </x:c>
      <x:c r="Q185" s="17" t="str">
        <x:v>$79,990 - $69,990</x:v>
      </x:c>
      <x:c r="R185" s="22" t="str">
        <x:v>confirmado</x:v>
      </x:c>
      <x:c r="S185" s="22" t="str">
        <x:v>Sí</x:v>
      </x:c>
      <x:c r="T185" s="24"/>
      <x:c r="U185" s="17" t="str">
        <x:v>https://graph.microsoft.com/v1.0/me/drive/items/01DHXXN7YASXKBZPOLSBHIX2N2T3PB4G2R#page=24</x:v>
      </x:c>
      <x:c r="V185" s="17" t="str">
        <x:v>https://graph.microsoft.com/v1.0/me/drive/items/01DHXXN7YASXKBZPOLSBHIX2N2T3PB4G2R</x:v>
      </x:c>
      <x:c r="W185" s="17" t="str">
        <x:v>109cd454e89e15320251f95adb8f8aaae5aeddde028e274c56c4d3a2fce971cd</x:v>
      </x:c>
      <x:c r="X185" s="17" t="str">
        <x:v>SKU no publicado; se conserva una identidad técnica estable.</x:v>
      </x:c>
    </x:row>
    <x:row r="186" ht="34" customHeight="1">
      <x:c r="A186" s="17" t="str">
        <x:v>IDÉLIKA</x:v>
      </x:c>
      <x:c r="B186" s="17" t="str">
        <x:v>Stock</x:v>
      </x:c>
      <x:c r="C186" s="17" t="str">
        <x:v>2 CATALOGO STOCK 2026.pdf</x:v>
      </x:c>
      <x:c r="D186" s="21" t="n">
        <x:v>24</x:v>
      </x:c>
      <x:c r="E186" s="17" t="str">
        <x:v>idelika:stock:sin-sku:eec23cbcdedb477e3e7e</x:v>
      </x:c>
      <x:c r="F186" s="17"/>
      <x:c r="G186" s="22" t="str">
        <x:v>por_verificar</x:v>
      </x:c>
      <x:c r="H186" s="17" t="str">
        <x:v>Pola silla</x:v>
      </x:c>
      <x:c r="I186" s="17" t="str">
        <x:v>Premium</x:v>
      </x:c>
      <x:c r="J186" s="17"/>
      <x:c r="K186" s="17" t="str">
        <x:v>Madera de acacia, Mimbre sintético</x:v>
      </x:c>
      <x:c r="L186" s="17" t="str">
        <x:v>58*63*76 alto</x:v>
      </x:c>
      <x:c r="M186" s="17" t="str">
        <x:v>Madera de acacia, Mimbre sintético 58*63*76 alto (no incluye mesa) Xoriguer</x:v>
      </x:c>
      <x:c r="N186" s="22" t="str">
        <x:v>pieza</x:v>
      </x:c>
      <x:c r="O186" s="23" t="n">
        <x:v>5990</x:v>
      </x:c>
      <x:c r="P186" s="23" t="n">
        <x:v>6990</x:v>
      </x:c>
      <x:c r="Q186" s="17" t="str">
        <x:v>$6,990 – $5,990</x:v>
      </x:c>
      <x:c r="R186" s="22" t="str">
        <x:v>confirmado</x:v>
      </x:c>
      <x:c r="S186" s="22" t="str">
        <x:v>Sí</x:v>
      </x:c>
      <x:c r="T186" s="24"/>
      <x:c r="U186" s="17" t="str">
        <x:v>https://graph.microsoft.com/v1.0/me/drive/items/01DHXXN7YASXKBZPOLSBHIX2N2T3PB4G2R#page=24</x:v>
      </x:c>
      <x:c r="V186" s="17" t="str">
        <x:v>https://graph.microsoft.com/v1.0/me/drive/items/01DHXXN7YASXKBZPOLSBHIX2N2T3PB4G2R</x:v>
      </x:c>
      <x:c r="W186" s="17" t="str">
        <x:v>eec23cbcdedb477e3e7e617d395e4b4d69420977c5a62f040c9406d16bd4dcfb</x:v>
      </x:c>
      <x:c r="X186" s="17" t="str">
        <x:v>SKU no publicado; se conserva una identidad técnica estable.</x:v>
      </x:c>
    </x:row>
    <x:row r="187" ht="34" customHeight="1">
      <x:c r="A187" s="17" t="str">
        <x:v>IDÉLIKA</x:v>
      </x:c>
      <x:c r="B187" s="17" t="str">
        <x:v>Stock</x:v>
      </x:c>
      <x:c r="C187" s="17" t="str">
        <x:v>2 CATALOGO STOCK 2026.pdf</x:v>
      </x:c>
      <x:c r="D187" s="21" t="n">
        <x:v>24</x:v>
      </x:c>
      <x:c r="E187" s="17" t="str">
        <x:v>idelika:stock:sin-sku:c844b8f5f1166a120f82</x:v>
      </x:c>
      <x:c r="F187" s="17"/>
      <x:c r="G187" s="22" t="str">
        <x:v>por_verificar</x:v>
      </x:c>
      <x:c r="H187" s="17" t="str">
        <x:v>mesa</x:v>
      </x:c>
      <x:c r="I187" s="17" t="str">
        <x:v>Premium</x:v>
      </x:c>
      <x:c r="J187" s="17"/>
      <x:c r="K187" s="17" t="str">
        <x:v>Madera maciza De eucalipto</x:v>
      </x:c>
      <x:c r="L187" s="17" t="str">
        <x:v>280*110*75 alto</x:v>
      </x:c>
      <x:c r="M187" s="17" t="str">
        <x:v>Madera maciza De eucalipto 280*110*75 alto Premium</x:v>
      </x:c>
      <x:c r="N187" s="22" t="str">
        <x:v>pieza</x:v>
      </x:c>
      <x:c r="O187" s="23" t="n">
        <x:v>39990</x:v>
      </x:c>
      <x:c r="P187" s="23" t="n">
        <x:v>49990</x:v>
      </x:c>
      <x:c r="Q187" s="17" t="str">
        <x:v>$49,990 – $39,990</x:v>
      </x:c>
      <x:c r="R187" s="22" t="str">
        <x:v>confirmado</x:v>
      </x:c>
      <x:c r="S187" s="22" t="str">
        <x:v>Sí</x:v>
      </x:c>
      <x:c r="T187" s="24"/>
      <x:c r="U187" s="17" t="str">
        <x:v>https://graph.microsoft.com/v1.0/me/drive/items/01DHXXN7YASXKBZPOLSBHIX2N2T3PB4G2R#page=24</x:v>
      </x:c>
      <x:c r="V187" s="17" t="str">
        <x:v>https://graph.microsoft.com/v1.0/me/drive/items/01DHXXN7YASXKBZPOLSBHIX2N2T3PB4G2R</x:v>
      </x:c>
      <x:c r="W187" s="17" t="str">
        <x:v>c844b8f5f1166a120f820e4aea5176e5f14083ef54396ca9cdd0cabb60cf3a46</x:v>
      </x:c>
      <x:c r="X187" s="17" t="str">
        <x:v>SKU no publicado; se conserva una identidad técnica estable.</x:v>
      </x:c>
    </x:row>
    <x:row r="188" ht="34" customHeight="1">
      <x:c r="A188" s="17" t="str">
        <x:v>IDÉLIKA</x:v>
      </x:c>
      <x:c r="B188" s="17" t="str">
        <x:v>Stock</x:v>
      </x:c>
      <x:c r="C188" s="17" t="str">
        <x:v>2 CATALOGO STOCK 2026.pdf</x:v>
      </x:c>
      <x:c r="D188" s="21" t="n">
        <x:v>27</x:v>
      </x:c>
      <x:c r="E188" s="17" t="str">
        <x:v>idelika:stock:sin-sku:97bc632bc98b066aa1af</x:v>
      </x:c>
      <x:c r="F188" s="17"/>
      <x:c r="G188" s="22" t="str">
        <x:v>por_verificar</x:v>
      </x:c>
      <x:c r="H188" s="17" t="str">
        <x:v>Colección SauraSonsuara camastro</x:v>
      </x:c>
      <x:c r="I188" s="17" t="str">
        <x:v>SauraSonsuara camastro</x:v>
      </x:c>
      <x:c r="J188" s="17"/>
      <x:c r="K188" s="17" t="str">
        <x:v>Madera Maciza de Eucalipto</x:v>
      </x:c>
      <x:c r="L188" s="17" t="str">
        <x:v>88*198*74</x:v>
      </x:c>
      <x:c r="M188" s="17" t="str">
        <x:v>Madera Maciza de Eucalipto 88*198*74</x:v>
      </x:c>
      <x:c r="N188" s="22" t="str">
        <x:v>pieza</x:v>
      </x:c>
      <x:c r="O188" s="23" t="n">
        <x:v>16830</x:v>
      </x:c>
      <x:c r="P188" s="23" t="n">
        <x:v>17990</x:v>
      </x:c>
      <x:c r="Q188" s="17" t="str">
        <x:v>$17,990 – $16,830</x:v>
      </x:c>
      <x:c r="R188" s="22" t="str">
        <x:v>confirmado</x:v>
      </x:c>
      <x:c r="S188" s="22" t="str">
        <x:v>Sí</x:v>
      </x:c>
      <x:c r="T188" s="24"/>
      <x:c r="U188" s="17" t="str">
        <x:v>https://graph.microsoft.com/v1.0/me/drive/items/01DHXXN7YASXKBZPOLSBHIX2N2T3PB4G2R#page=27</x:v>
      </x:c>
      <x:c r="V188" s="17" t="str">
        <x:v>https://graph.microsoft.com/v1.0/me/drive/items/01DHXXN7YASXKBZPOLSBHIX2N2T3PB4G2R</x:v>
      </x:c>
      <x:c r="W188" s="17" t="str">
        <x:v>97bc632bc98b066aa1af218fdce61070b7bde5ebefa8a72bb848673a0eb8d538</x:v>
      </x:c>
      <x:c r="X188" s="17" t="str">
        <x:v>SKU no publicado; se conserva una identidad técnica estable.</x:v>
      </x:c>
    </x:row>
    <x:row r="189" ht="34" customHeight="1">
      <x:c r="A189" s="17" t="str">
        <x:v>IDÉLIKA</x:v>
      </x:c>
      <x:c r="B189" s="17" t="str">
        <x:v>Stock</x:v>
      </x:c>
      <x:c r="C189" s="17" t="str">
        <x:v>2 CATALOGO STOCK 2026.pdf</x:v>
      </x:c>
      <x:c r="D189" s="21" t="n">
        <x:v>27</x:v>
      </x:c>
      <x:c r="E189" s="17" t="str">
        <x:v>idelika:stock:sin-sku:edade8c8d5ce8a394caf</x:v>
      </x:c>
      <x:c r="F189" s="17"/>
      <x:c r="G189" s="22" t="str">
        <x:v>por_verificar</x:v>
      </x:c>
      <x:c r="H189" s="17" t="str">
        <x:v>Sonsuara camastro doble</x:v>
      </x:c>
      <x:c r="I189" s="17" t="str">
        <x:v>SauraSonsuara camastro</x:v>
      </x:c>
      <x:c r="J189" s="17"/>
      <x:c r="K189" s="17" t="str">
        <x:v>Madera Maciza de Eucalipto</x:v>
      </x:c>
      <x:c r="L189" s="17" t="str">
        <x:v>88*198*139</x:v>
      </x:c>
      <x:c r="M189" s="17" t="str">
        <x:v>Madera Maciza de Eucalipto 88*198*139</x:v>
      </x:c>
      <x:c r="N189" s="22" t="str">
        <x:v>pieza</x:v>
      </x:c>
      <x:c r="O189" s="23" t="n">
        <x:v>29990</x:v>
      </x:c>
      <x:c r="P189" s="23" t="n">
        <x:v>34990</x:v>
      </x:c>
      <x:c r="Q189" s="17" t="str">
        <x:v>$34,990 – $29,990</x:v>
      </x:c>
      <x:c r="R189" s="22" t="str">
        <x:v>confirmado</x:v>
      </x:c>
      <x:c r="S189" s="22" t="str">
        <x:v>Sí</x:v>
      </x:c>
      <x:c r="T189" s="24"/>
      <x:c r="U189" s="17" t="str">
        <x:v>https://graph.microsoft.com/v1.0/me/drive/items/01DHXXN7YASXKBZPOLSBHIX2N2T3PB4G2R#page=27</x:v>
      </x:c>
      <x:c r="V189" s="17" t="str">
        <x:v>https://graph.microsoft.com/v1.0/me/drive/items/01DHXXN7YASXKBZPOLSBHIX2N2T3PB4G2R</x:v>
      </x:c>
      <x:c r="W189" s="17" t="str">
        <x:v>edade8c8d5ce8a394cafec45852a200a4bf477ee9b976d3009cf0f398f9ce32f</x:v>
      </x:c>
      <x:c r="X189" s="17" t="str">
        <x:v>SKU no publicado; se conserva una identidad técnica estable.</x:v>
      </x:c>
    </x:row>
    <x:row r="190" ht="34" customHeight="1">
      <x:c r="A190" s="17" t="str">
        <x:v>IDÉLIKA</x:v>
      </x:c>
      <x:c r="B190" s="17" t="str">
        <x:v>Stock</x:v>
      </x:c>
      <x:c r="C190" s="17" t="str">
        <x:v>2 CATALOGO STOCK 2026.pdf</x:v>
      </x:c>
      <x:c r="D190" s="21" t="n">
        <x:v>27</x:v>
      </x:c>
      <x:c r="E190" s="17" t="str">
        <x:v>idelika:stock:sin-sku:4813badb227914386cff</x:v>
      </x:c>
      <x:c r="F190" s="17"/>
      <x:c r="G190" s="22" t="str">
        <x:v>por_verificar</x:v>
      </x:c>
      <x:c r="H190" s="17" t="str">
        <x:v>Saura mesa</x:v>
      </x:c>
      <x:c r="I190" s="17" t="str">
        <x:v>SauraSonsuara camastro</x:v>
      </x:c>
      <x:c r="J190" s="17"/>
      <x:c r="K190" s="17" t="str">
        <x:v>Terrazo</x:v>
      </x:c>
      <x:c r="L190" s="17" t="str">
        <x:v>44*44*48</x:v>
      </x:c>
      <x:c r="M190" s="17" t="str">
        <x:v>Terrazo 44*44*48</x:v>
      </x:c>
      <x:c r="N190" s="22" t="str">
        <x:v>pieza</x:v>
      </x:c>
      <x:c r="O190" s="23" t="n">
        <x:v>5990</x:v>
      </x:c>
      <x:c r="P190" s="23" t="n">
        <x:v>6490</x:v>
      </x:c>
      <x:c r="Q190" s="17" t="str">
        <x:v>$6,490 – $5,990</x:v>
      </x:c>
      <x:c r="R190" s="22" t="str">
        <x:v>confirmado</x:v>
      </x:c>
      <x:c r="S190" s="22" t="str">
        <x:v>Sí</x:v>
      </x:c>
      <x:c r="T190" s="24"/>
      <x:c r="U190" s="17" t="str">
        <x:v>https://graph.microsoft.com/v1.0/me/drive/items/01DHXXN7YASXKBZPOLSBHIX2N2T3PB4G2R#page=27</x:v>
      </x:c>
      <x:c r="V190" s="17" t="str">
        <x:v>https://graph.microsoft.com/v1.0/me/drive/items/01DHXXN7YASXKBZPOLSBHIX2N2T3PB4G2R</x:v>
      </x:c>
      <x:c r="W190" s="17" t="str">
        <x:v>4813badb227914386cff2323734cbbb8ba20fc2521871618fd27939abd253fc9</x:v>
      </x:c>
      <x:c r="X190" s="17" t="str">
        <x:v>SKU no publicado; se conserva una identidad técnica estable.</x:v>
      </x:c>
    </x:row>
    <x:row r="191" ht="34" customHeight="1">
      <x:c r="A191" s="17" t="str">
        <x:v>IDÉLIKA</x:v>
      </x:c>
      <x:c r="B191" s="17" t="str">
        <x:v>Stock</x:v>
      </x:c>
      <x:c r="C191" s="17" t="str">
        <x:v>2 CATALOGO STOCK 2026.pdf</x:v>
      </x:c>
      <x:c r="D191" s="21" t="n">
        <x:v>27</x:v>
      </x:c>
      <x:c r="E191" s="17" t="str">
        <x:v>idelika:stock:sin-sku:7a39d6d929effd6b90cd</x:v>
      </x:c>
      <x:c r="F191" s="17"/>
      <x:c r="G191" s="22" t="str">
        <x:v>por_verificar</x:v>
      </x:c>
      <x:c r="H191" s="17" t="str">
        <x:v>Pada mesa</x:v>
      </x:c>
      <x:c r="I191" s="17" t="str">
        <x:v>SauraSonsuara camastro</x:v>
      </x:c>
      <x:c r="J191" s="17"/>
      <x:c r="K191" s="17" t="str">
        <x:v>Terrazo</x:v>
      </x:c>
      <x:c r="L191" s="17" t="str">
        <x:v>40*40*45</x:v>
      </x:c>
      <x:c r="M191" s="17" t="str">
        <x:v>Terrazo 40*40*45</x:v>
      </x:c>
      <x:c r="N191" s="22" t="str">
        <x:v>pieza</x:v>
      </x:c>
      <x:c r="O191" s="23" t="n">
        <x:v>3990</x:v>
      </x:c>
      <x:c r="P191" s="23" t="n">
        <x:v>6290</x:v>
      </x:c>
      <x:c r="Q191" s="17" t="str">
        <x:v>$6,290 – $3,990</x:v>
      </x:c>
      <x:c r="R191" s="22" t="str">
        <x:v>confirmado</x:v>
      </x:c>
      <x:c r="S191" s="22" t="str">
        <x:v>Sí</x:v>
      </x:c>
      <x:c r="T191" s="24"/>
      <x:c r="U191" s="17" t="str">
        <x:v>https://graph.microsoft.com/v1.0/me/drive/items/01DHXXN7YASXKBZPOLSBHIX2N2T3PB4G2R#page=27</x:v>
      </x:c>
      <x:c r="V191" s="17" t="str">
        <x:v>https://graph.microsoft.com/v1.0/me/drive/items/01DHXXN7YASXKBZPOLSBHIX2N2T3PB4G2R</x:v>
      </x:c>
      <x:c r="W191" s="17" t="str">
        <x:v>7a39d6d929effd6b90cdd8af287266df989994f522640962bc61e4acb7a5580c</x:v>
      </x:c>
      <x:c r="X191" s="17" t="str">
        <x:v>SKU no publicado; se conserva una identidad técnica estable.</x:v>
      </x:c>
    </x:row>
    <x:row r="192" ht="34" customHeight="1">
      <x:c r="A192" s="17" t="str">
        <x:v>IDÉLIKA</x:v>
      </x:c>
      <x:c r="B192" s="17" t="str">
        <x:v>Stock</x:v>
      </x:c>
      <x:c r="C192" s="17" t="str">
        <x:v>2 CATALOGO STOCK 2026.pdf</x:v>
      </x:c>
      <x:c r="D192" s="21" t="n">
        <x:v>28</x:v>
      </x:c>
      <x:c r="E192" s="17" t="str">
        <x:v>idelika:stock:sin-sku:2b7b69f7f4e8330d281f</x:v>
      </x:c>
      <x:c r="F192" s="17"/>
      <x:c r="G192" s="22" t="str">
        <x:v>por_verificar</x:v>
      </x:c>
      <x:c r="H192" s="17" t="str">
        <x:v>Camastro Nizuc</x:v>
      </x:c>
      <x:c r="I192" s="17"/>
      <x:c r="J192" s="17"/>
      <x:c r="K192" s="17" t="str">
        <x:v>Polipropileno y textilene</x:v>
      </x:c>
      <x:c r="L192" s="17" t="str">
        <x:v>190*68*31.5 alto</x:v>
      </x:c>
      <x:c r="M192" s="17" t="str">
        <x:v>Polipropileno y textilene 3 años garantía (uso contract) 190*68*31.5 alto Próximamente….Verano 2026</x:v>
      </x:c>
      <x:c r="N192" s="22" t="str">
        <x:v>pieza</x:v>
      </x:c>
      <x:c r="O192" s="23" t="n">
        <x:v>5990</x:v>
      </x:c>
      <x:c r="P192" s="23" t="n">
        <x:v>7990</x:v>
      </x:c>
      <x:c r="Q192" s="17" t="str">
        <x:v>$7,990 – $5,990</x:v>
      </x:c>
      <x:c r="R192" s="22" t="str">
        <x:v>confirmado</x:v>
      </x:c>
      <x:c r="S192" s="22" t="str">
        <x:v>Sí</x:v>
      </x:c>
      <x:c r="T192" s="24"/>
      <x:c r="U192" s="17" t="str">
        <x:v>https://graph.microsoft.com/v1.0/me/drive/items/01DHXXN7YASXKBZPOLSBHIX2N2T3PB4G2R#page=28</x:v>
      </x:c>
      <x:c r="V192" s="17" t="str">
        <x:v>https://graph.microsoft.com/v1.0/me/drive/items/01DHXXN7YASXKBZPOLSBHIX2N2T3PB4G2R</x:v>
      </x:c>
      <x:c r="W192" s="17" t="str">
        <x:v>2b7b69f7f4e8330d281f14d12d9ce92c4a0af375dce178a37f624f43cdc12322</x:v>
      </x:c>
      <x:c r="X192" s="17" t="str">
        <x:v>SKU no publicado; se conserva una identidad técnica estable.</x:v>
      </x:c>
    </x:row>
    <x:row r="193" ht="34" customHeight="1">
      <x:c r="A193" s="17" t="str">
        <x:v>IDÉLIKA</x:v>
      </x:c>
      <x:c r="B193" s="17" t="str">
        <x:v>Stock</x:v>
      </x:c>
      <x:c r="C193" s="17" t="str">
        <x:v>2 CATALOGO STOCK 2026.pdf</x:v>
      </x:c>
      <x:c r="D193" s="21" t="n">
        <x:v>29</x:v>
      </x:c>
      <x:c r="E193" s="17" t="str">
        <x:v>idelika:stock:sin-sku:9254075fbd0fc6d48ff4</x:v>
      </x:c>
      <x:c r="F193" s="17"/>
      <x:c r="G193" s="22" t="str">
        <x:v>por_verificar</x:v>
      </x:c>
      <x:c r="H193" s="17" t="str">
        <x:v>Itai mesa comedor</x:v>
      </x:c>
      <x:c r="I193" s="17"/>
      <x:c r="J193" s="17"/>
      <x:c r="K193" s="17" t="str">
        <x:v>Cemento</x:v>
      </x:c>
      <x:c r="L193" s="17" t="str">
        <x:v>120*120*75</x:v>
      </x:c>
      <x:c r="M193" s="17" t="str">
        <x:v>Cemento 120*120*75</x:v>
      </x:c>
      <x:c r="N193" s="22" t="str">
        <x:v>pieza</x:v>
      </x:c>
      <x:c r="O193" s="23" t="n">
        <x:v>19990</x:v>
      </x:c>
      <x:c r="P193" s="23" t="n">
        <x:v>21990</x:v>
      </x:c>
      <x:c r="Q193" s="17" t="str">
        <x:v>$21,990 – $19,990</x:v>
      </x:c>
      <x:c r="R193" s="22" t="str">
        <x:v>confirmado</x:v>
      </x:c>
      <x:c r="S193" s="22" t="str">
        <x:v>Sí</x:v>
      </x:c>
      <x:c r="T193" s="24"/>
      <x:c r="U193" s="17" t="str">
        <x:v>https://graph.microsoft.com/v1.0/me/drive/items/01DHXXN7YASXKBZPOLSBHIX2N2T3PB4G2R#page=29</x:v>
      </x:c>
      <x:c r="V193" s="17" t="str">
        <x:v>https://graph.microsoft.com/v1.0/me/drive/items/01DHXXN7YASXKBZPOLSBHIX2N2T3PB4G2R</x:v>
      </x:c>
      <x:c r="W193" s="17" t="str">
        <x:v>9254075fbd0fc6d48ff4448bab8ab04d79e1ac9187dce1d544834e9b1aa4b345</x:v>
      </x:c>
      <x:c r="X193" s="17" t="str">
        <x:v>SKU no publicado; se conserva una identidad técnica estable.</x:v>
      </x:c>
    </x:row>
    <x:row r="194" ht="34" customHeight="1">
      <x:c r="A194" s="17" t="str">
        <x:v>IDÉLIKA</x:v>
      </x:c>
      <x:c r="B194" s="17" t="str">
        <x:v>Stock</x:v>
      </x:c>
      <x:c r="C194" s="17" t="str">
        <x:v>2 CATALOGO STOCK 2026.pdf</x:v>
      </x:c>
      <x:c r="D194" s="21" t="n">
        <x:v>29</x:v>
      </x:c>
      <x:c r="E194" s="17" t="str">
        <x:v>idelika:stock:sin-sku:a0745f9407cf1f97eace</x:v>
      </x:c>
      <x:c r="F194" s="17"/>
      <x:c r="G194" s="22" t="str">
        <x:v>por_verificar</x:v>
      </x:c>
      <x:c r="H194" s="17" t="str">
        <x:v>Garbet mesa Centro grande</x:v>
      </x:c>
      <x:c r="I194" s="17"/>
      <x:c r="J194" s="17"/>
      <x:c r="K194" s="17" t="str">
        <x:v>Importación Cemento</x:v>
      </x:c>
      <x:c r="L194" s="17" t="str">
        <x:v>80*80*40</x:v>
      </x:c>
      <x:c r="M194" s="17" t="str">
        <x:v>80*80*40 Calidad contract</x:v>
      </x:c>
      <x:c r="N194" s="22" t="str">
        <x:v>pieza</x:v>
      </x:c>
      <x:c r="O194" s="23" t="n">
        <x:v>12990</x:v>
      </x:c>
      <x:c r="P194" s="23" t="n">
        <x:v>15990</x:v>
      </x:c>
      <x:c r="Q194" s="17" t="str">
        <x:v>$15,990 – $12,990</x:v>
      </x:c>
      <x:c r="R194" s="22" t="str">
        <x:v>confirmado</x:v>
      </x:c>
      <x:c r="S194" s="22" t="str">
        <x:v>Sí</x:v>
      </x:c>
      <x:c r="T194" s="24"/>
      <x:c r="U194" s="17" t="str">
        <x:v>https://graph.microsoft.com/v1.0/me/drive/items/01DHXXN7YASXKBZPOLSBHIX2N2T3PB4G2R#page=29</x:v>
      </x:c>
      <x:c r="V194" s="17" t="str">
        <x:v>https://graph.microsoft.com/v1.0/me/drive/items/01DHXXN7YASXKBZPOLSBHIX2N2T3PB4G2R</x:v>
      </x:c>
      <x:c r="W194" s="17" t="str">
        <x:v>a0745f9407cf1f97eace6f9d3937fdb1b561c4917d8a11492878570653a073f6</x:v>
      </x:c>
      <x:c r="X194" s="17" t="str">
        <x:v>SKU no publicado; se conserva una identidad técnica estable.</x:v>
      </x:c>
    </x:row>
    <x:row r="195" ht="34" customHeight="1">
      <x:c r="A195" s="17" t="str">
        <x:v>IDÉLIKA</x:v>
      </x:c>
      <x:c r="B195" s="17" t="str">
        <x:v>Stock</x:v>
      </x:c>
      <x:c r="C195" s="17" t="str">
        <x:v>2 CATALOGO STOCK 2026.pdf</x:v>
      </x:c>
      <x:c r="D195" s="21" t="n">
        <x:v>29</x:v>
      </x:c>
      <x:c r="E195" s="17" t="str">
        <x:v>idelika:stock:sin-sku:c1fd5080113dbf73e037</x:v>
      </x:c>
      <x:c r="F195" s="17"/>
      <x:c r="G195" s="22" t="str">
        <x:v>por_verificar</x:v>
      </x:c>
      <x:c r="H195" s="17" t="str">
        <x:v>Garbet mesa auxiliar</x:v>
      </x:c>
      <x:c r="I195" s="17"/>
      <x:c r="J195" s="17"/>
      <x:c r="K195" s="17" t="str">
        <x:v>Importación Cemento cemento</x:v>
      </x:c>
      <x:c r="L195" s="17" t="str">
        <x:v>32*32*46</x:v>
      </x:c>
      <x:c r="M195" s="17" t="str">
        <x:v>32*32*46 Rustella cemento 80*60*30 Próximamente….Verano 2026</x:v>
      </x:c>
      <x:c r="N195" s="22" t="str">
        <x:v>pieza</x:v>
      </x:c>
      <x:c r="O195" s="23" t="n">
        <x:v>3990</x:v>
      </x:c>
      <x:c r="P195" s="23" t="n">
        <x:v>5990</x:v>
      </x:c>
      <x:c r="Q195" s="17" t="str">
        <x:v>$5,990 – $3,990</x:v>
      </x:c>
      <x:c r="R195" s="22" t="str">
        <x:v>confirmado</x:v>
      </x:c>
      <x:c r="S195" s="22" t="str">
        <x:v>Sí</x:v>
      </x:c>
      <x:c r="T195" s="24"/>
      <x:c r="U195" s="17" t="str">
        <x:v>https://graph.microsoft.com/v1.0/me/drive/items/01DHXXN7YASXKBZPOLSBHIX2N2T3PB4G2R#page=29</x:v>
      </x:c>
      <x:c r="V195" s="17" t="str">
        <x:v>https://graph.microsoft.com/v1.0/me/drive/items/01DHXXN7YASXKBZPOLSBHIX2N2T3PB4G2R</x:v>
      </x:c>
      <x:c r="W195" s="17" t="str">
        <x:v>c1fd5080113dbf73e0370559d1597eccf57b039a8689fe31f8a8bf0d116badc0</x:v>
      </x:c>
      <x:c r="X195" s="17" t="str">
        <x:v>SKU no publicado; se conserva una identidad técnica estable.</x:v>
      </x:c>
    </x:row>
    <x:row r="196" ht="34" customHeight="1">
      <x:c r="A196" s="17" t="str">
        <x:v>IDÉLIKA</x:v>
      </x:c>
      <x:c r="B196" s="17" t="str">
        <x:v>Stock</x:v>
      </x:c>
      <x:c r="C196" s="17" t="str">
        <x:v>2 CATALOGO STOCK 2026.pdf</x:v>
      </x:c>
      <x:c r="D196" s="21" t="n">
        <x:v>29</x:v>
      </x:c>
      <x:c r="E196" s="17" t="str">
        <x:v>idelika:stock:sin-sku:dce69faf6fbe071a7c88</x:v>
      </x:c>
      <x:c r="F196" s="17"/>
      <x:c r="G196" s="22" t="str">
        <x:v>por_verificar</x:v>
      </x:c>
      <x:c r="H196" s="17" t="str">
        <x:v>Garbet mesa auxiliar</x:v>
      </x:c>
      <x:c r="I196" s="17"/>
      <x:c r="J196" s="17" t="str">
        <x:v>centro</x:v>
      </x:c>
      <x:c r="K196" s="17" t="str">
        <x:v>Importación Cemento cemento</x:v>
      </x:c>
      <x:c r="L196" s="17" t="str">
        <x:v>80*60*30</x:v>
      </x:c>
      <x:c r="M196" s="17" t="str">
        <x:v>32*32*46 Rustella cemento 80*60*30 Próximamente….Verano 2026</x:v>
      </x:c>
      <x:c r="N196" s="22" t="str">
        <x:v>pieza</x:v>
      </x:c>
      <x:c r="O196" s="23" t="n">
        <x:v>12990</x:v>
      </x:c>
      <x:c r="P196" s="23" t="n">
        <x:v>15990</x:v>
      </x:c>
      <x:c r="Q196" s="17" t="str">
        <x:v>$15,990 – $12,990 centro</x:v>
      </x:c>
      <x:c r="R196" s="22" t="str">
        <x:v>confirmado</x:v>
      </x:c>
      <x:c r="S196" s="22" t="str">
        <x:v>Sí</x:v>
      </x:c>
      <x:c r="T196" s="24"/>
      <x:c r="U196" s="17" t="str">
        <x:v>https://graph.microsoft.com/v1.0/me/drive/items/01DHXXN7YASXKBZPOLSBHIX2N2T3PB4G2R#page=29</x:v>
      </x:c>
      <x:c r="V196" s="17" t="str">
        <x:v>https://graph.microsoft.com/v1.0/me/drive/items/01DHXXN7YASXKBZPOLSBHIX2N2T3PB4G2R</x:v>
      </x:c>
      <x:c r="W196" s="17" t="str">
        <x:v>dce69faf6fbe071a7c8862f44c2decda38804f2a25b68cacb9d6db5da04c5cf7</x:v>
      </x:c>
      <x:c r="X196" s="17" t="str">
        <x:v>SKU no publicado; se conserva una identidad técnica estable.</x:v>
      </x:c>
    </x:row>
    <x:row r="197" ht="34" customHeight="1">
      <x:c r="A197" s="17" t="str">
        <x:v>IDÉLIKA</x:v>
      </x:c>
      <x:c r="B197" s="17" t="str">
        <x:v>Stock</x:v>
      </x:c>
      <x:c r="C197" s="17" t="str">
        <x:v>2 CATALOGO STOCK 2026.pdf</x:v>
      </x:c>
      <x:c r="D197" s="21" t="n">
        <x:v>29</x:v>
      </x:c>
      <x:c r="E197" s="17" t="str">
        <x:v>idelika:stock:sin-sku:5fd5fed2fd991c268b0b</x:v>
      </x:c>
      <x:c r="F197" s="17"/>
      <x:c r="G197" s="22" t="str">
        <x:v>por_verificar</x:v>
      </x:c>
      <x:c r="H197" s="17" t="str">
        <x:v>Garbet mesa auxiliar</x:v>
      </x:c>
      <x:c r="I197" s="17"/>
      <x:c r="J197" s="17" t="str">
        <x:v>auxiliar</x:v>
      </x:c>
      <x:c r="K197" s="17" t="str">
        <x:v>Importación Cemento cemento</x:v>
      </x:c>
      <x:c r="L197" s="17"/>
      <x:c r="M197" s="17" t="str">
        <x:v>32*32*46 Rustella cemento 80*60*30 Próximamente….Verano 2026</x:v>
      </x:c>
      <x:c r="N197" s="22" t="str">
        <x:v>pieza</x:v>
      </x:c>
      <x:c r="O197" s="23" t="n">
        <x:v>3990</x:v>
      </x:c>
      <x:c r="P197" s="23" t="n">
        <x:v>5990</x:v>
      </x:c>
      <x:c r="Q197" s="17" t="str">
        <x:v>$5,990 – $3,990 auxiliar</x:v>
      </x:c>
      <x:c r="R197" s="22" t="str">
        <x:v>confirmado</x:v>
      </x:c>
      <x:c r="S197" s="22" t="str">
        <x:v>Sí</x:v>
      </x:c>
      <x:c r="T197" s="24"/>
      <x:c r="U197" s="17" t="str">
        <x:v>https://graph.microsoft.com/v1.0/me/drive/items/01DHXXN7YASXKBZPOLSBHIX2N2T3PB4G2R#page=29</x:v>
      </x:c>
      <x:c r="V197" s="17" t="str">
        <x:v>https://graph.microsoft.com/v1.0/me/drive/items/01DHXXN7YASXKBZPOLSBHIX2N2T3PB4G2R</x:v>
      </x:c>
      <x:c r="W197" s="17" t="str">
        <x:v>5fd5fed2fd991c268b0b139c89ce78a6b8b6877296c8b45822baa551f9e4a4c4</x:v>
      </x:c>
      <x:c r="X197" s="17" t="str">
        <x:v>SKU no publicado; se conserva una identidad técnica estable.</x:v>
      </x:c>
    </x:row>
    <x:row r="198" ht="34" customHeight="1">
      <x:c r="A198" s="17" t="str">
        <x:v>IDÉLIKA</x:v>
      </x:c>
      <x:c r="B198" s="17" t="str">
        <x:v>Stock</x:v>
      </x:c>
      <x:c r="C198" s="17" t="str">
        <x:v>2 CATALOGO STOCK 2026.pdf</x:v>
      </x:c>
      <x:c r="D198" s="21" t="n">
        <x:v>30</x:v>
      </x:c>
      <x:c r="E198" s="17" t="str">
        <x:v>idelika:stock:sin-sku:988c4fab1c8e19722198</x:v>
      </x:c>
      <x:c r="F198" s="17"/>
      <x:c r="G198" s="22" t="str">
        <x:v>por_verificar</x:v>
      </x:c>
      <x:c r="H198" s="17" t="str">
        <x:v>Mesa centro</x:v>
      </x:c>
      <x:c r="I198" s="17"/>
      <x:c r="J198" s="17"/>
      <x:c r="K198" s="17" t="str">
        <x:v>Terrazo</x:v>
      </x:c>
      <x:c r="L198" s="17" t="str">
        <x:v>52*52*30</x:v>
      </x:c>
      <x:c r="M198" s="17" t="str">
        <x:v>Terrazo 52*52*30 Calidad contract (uso rudo) Jenell</x:v>
      </x:c>
      <x:c r="N198" s="22" t="str">
        <x:v>pieza</x:v>
      </x:c>
      <x:c r="O198" s="23" t="n">
        <x:v>4990</x:v>
      </x:c>
      <x:c r="P198" s="23" t="n">
        <x:v>6990</x:v>
      </x:c>
      <x:c r="Q198" s="17" t="str">
        <x:v>$6,990 – $4,990</x:v>
      </x:c>
      <x:c r="R198" s="22" t="str">
        <x:v>confirmado</x:v>
      </x:c>
      <x:c r="S198" s="22" t="str">
        <x:v>Sí</x:v>
      </x:c>
      <x:c r="T198" s="24"/>
      <x:c r="U198" s="17" t="str">
        <x:v>https://graph.microsoft.com/v1.0/me/drive/items/01DHXXN7YASXKBZPOLSBHIX2N2T3PB4G2R#page=30</x:v>
      </x:c>
      <x:c r="V198" s="17" t="str">
        <x:v>https://graph.microsoft.com/v1.0/me/drive/items/01DHXXN7YASXKBZPOLSBHIX2N2T3PB4G2R</x:v>
      </x:c>
      <x:c r="W198" s="17" t="str">
        <x:v>988c4fab1c8e19722198eee73f78329669def3ac5e2368f2d8618bf331800065</x:v>
      </x:c>
      <x:c r="X198" s="17" t="str">
        <x:v>SKU no publicado; se conserva una identidad técnica estable.</x:v>
      </x:c>
    </x:row>
    <x:row r="199" ht="34" customHeight="1">
      <x:c r="A199" s="17" t="str">
        <x:v>IDÉLIKA</x:v>
      </x:c>
      <x:c r="B199" s="17" t="str">
        <x:v>Stock</x:v>
      </x:c>
      <x:c r="C199" s="17" t="str">
        <x:v>2 CATALOGO STOCK 2026.pdf</x:v>
      </x:c>
      <x:c r="D199" s="21" t="n">
        <x:v>30</x:v>
      </x:c>
      <x:c r="E199" s="17" t="str">
        <x:v>idelika:stock:sin-sku:50ed925bc0f3f6cea710</x:v>
      </x:c>
      <x:c r="F199" s="17"/>
      <x:c r="G199" s="22" t="str">
        <x:v>por_verificar</x:v>
      </x:c>
      <x:c r="H199" s="17" t="str">
        <x:v>Mesa auxiliar</x:v>
      </x:c>
      <x:c r="I199" s="17"/>
      <x:c r="J199" s="17"/>
      <x:c r="K199" s="17" t="str">
        <x:v>Terrazo</x:v>
      </x:c>
      <x:c r="L199" s="17" t="str">
        <x:v>35*35*46</x:v>
      </x:c>
      <x:c r="M199" s="17" t="str">
        <x:v>Terrazo 35*35*46 Calidad contract (uso rudo) 13 Colba</x:v>
      </x:c>
      <x:c r="N199" s="22" t="str">
        <x:v>pieza</x:v>
      </x:c>
      <x:c r="O199" s="23" t="n">
        <x:v>3990</x:v>
      </x:c>
      <x:c r="P199" s="23" t="n">
        <x:v>5990</x:v>
      </x:c>
      <x:c r="Q199" s="17" t="str">
        <x:v>$5,990 – $3,990</x:v>
      </x:c>
      <x:c r="R199" s="22" t="str">
        <x:v>confirmado</x:v>
      </x:c>
      <x:c r="S199" s="22" t="str">
        <x:v>Sí</x:v>
      </x:c>
      <x:c r="T199" s="24"/>
      <x:c r="U199" s="17" t="str">
        <x:v>https://graph.microsoft.com/v1.0/me/drive/items/01DHXXN7YASXKBZPOLSBHIX2N2T3PB4G2R#page=30</x:v>
      </x:c>
      <x:c r="V199" s="17" t="str">
        <x:v>https://graph.microsoft.com/v1.0/me/drive/items/01DHXXN7YASXKBZPOLSBHIX2N2T3PB4G2R</x:v>
      </x:c>
      <x:c r="W199" s="17" t="str">
        <x:v>50ed925bc0f3f6cea710ed107ed6538bf7e4fd7320a0f5bf4e5fbba364516fcb</x:v>
      </x:c>
      <x:c r="X199" s="17" t="str">
        <x:v>SKU no publicado; se conserva una identidad técnica estable.</x:v>
      </x:c>
    </x:row>
    <x:row r="200" ht="34" customHeight="1">
      <x:c r="A200" s="17" t="str">
        <x:v>IDÉLIKA</x:v>
      </x:c>
      <x:c r="B200" s="17" t="str">
        <x:v>Stock</x:v>
      </x:c>
      <x:c r="C200" s="17" t="str">
        <x:v>2 CATALOGO STOCK 2026.pdf</x:v>
      </x:c>
      <x:c r="D200" s="21" t="n">
        <x:v>30</x:v>
      </x:c>
      <x:c r="E200" s="17" t="str">
        <x:v>idelika:stock:sin-sku:1a66bc8e2ddf435a8503</x:v>
      </x:c>
      <x:c r="F200" s="17"/>
      <x:c r="G200" s="22" t="str">
        <x:v>por_verificar</x:v>
      </x:c>
      <x:c r="H200" s="17" t="str">
        <x:v>Mesa centro</x:v>
      </x:c>
      <x:c r="I200" s="17"/>
      <x:c r="J200" s="17"/>
      <x:c r="K200" s="17" t="str">
        <x:v>Polycemento</x:v>
      </x:c>
      <x:c r="L200" s="17" t="str">
        <x:v>100*100*30</x:v>
      </x:c>
      <x:c r="M200" s="17" t="str">
        <x:v>Polycemento 100*100*30 Calidad contract (uso rudo) Próximamente….Verano 2026</x:v>
      </x:c>
      <x:c r="N200" s="22" t="str">
        <x:v>pieza</x:v>
      </x:c>
      <x:c r="O200" s="23" t="n">
        <x:v>13990</x:v>
      </x:c>
      <x:c r="P200" s="23" t="n">
        <x:v>14990</x:v>
      </x:c>
      <x:c r="Q200" s="17" t="str">
        <x:v>$14,990 – $13,990</x:v>
      </x:c>
      <x:c r="R200" s="22" t="str">
        <x:v>confirmado</x:v>
      </x:c>
      <x:c r="S200" s="22" t="str">
        <x:v>Sí</x:v>
      </x:c>
      <x:c r="T200" s="24"/>
      <x:c r="U200" s="17" t="str">
        <x:v>https://graph.microsoft.com/v1.0/me/drive/items/01DHXXN7YASXKBZPOLSBHIX2N2T3PB4G2R#page=30</x:v>
      </x:c>
      <x:c r="V200" s="17" t="str">
        <x:v>https://graph.microsoft.com/v1.0/me/drive/items/01DHXXN7YASXKBZPOLSBHIX2N2T3PB4G2R</x:v>
      </x:c>
      <x:c r="W200" s="17" t="str">
        <x:v>1a66bc8e2ddf435a85032db6233c48ebde4785ade34f46ee44ce468d670b7452</x:v>
      </x:c>
      <x:c r="X200" s="17" t="str">
        <x:v>SKU no publicado; se conserva una identidad técnica estable.</x:v>
      </x:c>
    </x:row>
    <x:row r="201" ht="34" customHeight="1">
      <x:c r="A201" s="17" t="str">
        <x:v>IDÉLIKA</x:v>
      </x:c>
      <x:c r="B201" s="17" t="str">
        <x:v>Stock</x:v>
      </x:c>
      <x:c r="C201" s="17" t="str">
        <x:v>2 CATALOGO STOCK 2026.pdf</x:v>
      </x:c>
      <x:c r="D201" s="21" t="n">
        <x:v>32</x:v>
      </x:c>
      <x:c r="E201" s="17" t="str">
        <x:v>idelika:stock:sin-sku:4b1d9f114b5c110d3260</x:v>
      </x:c>
      <x:c r="F201" s="17"/>
      <x:c r="G201" s="22" t="str">
        <x:v>por_verificar</x:v>
      </x:c>
      <x:c r="H201" s="17" t="str">
        <x:v>Salamanca silla Multicolor</x:v>
      </x:c>
      <x:c r="I201" s="17"/>
      <x:c r="J201" s="17"/>
      <x:c r="K201" s="17" t="str">
        <x:v>Acero y tela</x:v>
      </x:c>
      <x:c r="L201" s="17" t="str">
        <x:v>76*80*86</x:v>
      </x:c>
      <x:c r="M201" s="17" t="str">
        <x:v>Acero y tela 76*80*86 Visita la sección Outlet /sale en www.idelika.com y descubre este y muchos productos más</x:v>
      </x:c>
      <x:c r="N201" s="22" t="str">
        <x:v>pieza</x:v>
      </x:c>
      <x:c r="O201" s="23"/>
      <x:c r="P201" s="23"/>
      <x:c r="Q201" s="17"/>
      <x:c r="R201" s="22" t="str">
        <x:v>por_confirmar</x:v>
      </x:c>
      <x:c r="S201" s="22" t="str">
        <x:v>Sí</x:v>
      </x:c>
      <x:c r="T201" s="24"/>
      <x:c r="U201" s="17" t="str">
        <x:v>https://graph.microsoft.com/v1.0/me/drive/items/01DHXXN7YASXKBZPOLSBHIX2N2T3PB4G2R#page=32</x:v>
      </x:c>
      <x:c r="V201" s="17" t="str">
        <x:v>https://graph.microsoft.com/v1.0/me/drive/items/01DHXXN7YASXKBZPOLSBHIX2N2T3PB4G2R</x:v>
      </x:c>
      <x:c r="W201" s="17" t="str">
        <x:v>4b1d9f114b5c110d3260f2e858356f405325c9b3c86fcb2eff3030cec55e2ab5</x:v>
      </x:c>
      <x:c r="X201" s="17" t="str">
        <x:v>SKU no publicado; se conserva una identidad técnica estable. Precio por confirmar.</x:v>
      </x:c>
    </x:row>
    <x:row r="202" ht="34" customHeight="1">
      <x:c r="A202" s="17" t="str">
        <x:v>IDÉLIKA</x:v>
      </x:c>
      <x:c r="B202" s="17" t="str">
        <x:v>School Series</x:v>
      </x:c>
      <x:c r="C202" s="17" t="str">
        <x:v>4 SCHOOL SERIES 2026.pdf</x:v>
      </x:c>
      <x:c r="D202" s="21" t="n">
        <x:v>2</x:v>
      </x:c>
      <x:c r="E202" s="17" t="str">
        <x:v>idelika:school-series:sin-sku:23b62f015dafe2a95b04</x:v>
      </x:c>
      <x:c r="F202" s="17"/>
      <x:c r="G202" s="22" t="str">
        <x:v>por_verificar</x:v>
      </x:c>
      <x:c r="H202" s="17" t="str">
        <x:v>Pupitre 360 grados</x:v>
      </x:c>
      <x:c r="I202" s="17"/>
      <x:c r="J202" s="17"/>
      <x:c r="K202" s="17" t="str">
        <x:v>Polipropileno, fibra de vidrio, laminado plástico y acero.</x:v>
      </x:c>
      <x:c r="L202" s="17" t="str">
        <x:v>97*65*97 | 97*65*97</x:v>
      </x:c>
      <x:c r="M202" s="17" t="str">
        <x:v>diseño sin precedentes, exclusiva de flexibilidad, movilidad y almacenaje. Uso: Primaria superior hasta universitarios Materiales: Polipropileno, fibra de vidrio, laminado plástico y acero. Mecanismo: Pistón con altura regulable, porta paleta tubular giratorio y portavasos Medidas: 97*65*97 Humanity 360 grados diseño de nueva generación Uso: Primaria superior hasta universitarios Materiales: Polipropileno, fibra de vidrio, laminado plástico tela y acero. Mecanismo: Pistón con altura regulable, porta paleta tubular giratorio y portavasos Medidas: 97*65*97 Producto exclusivo de importación mínimo 200 piezas Producto en stock</x:v>
      </x:c>
      <x:c r="N202" s="22" t="str">
        <x:v>pieza</x:v>
      </x:c>
      <x:c r="O202" s="23"/>
      <x:c r="P202" s="23"/>
      <x:c r="Q202" s="17"/>
      <x:c r="R202" s="22" t="str">
        <x:v>por_confirmar</x:v>
      </x:c>
      <x:c r="S202" s="22" t="str">
        <x:v>Sí</x:v>
      </x:c>
      <x:c r="T202" s="24" t="n">
        <x:v>200</x:v>
      </x:c>
      <x:c r="U202" s="17" t="str">
        <x:v>https://graph.microsoft.com/v1.0/me/drive/items/01DHXXN7YTQLPUZXRUN5E3J62UE2JQUWNC#page=2</x:v>
      </x:c>
      <x:c r="V202" s="17" t="str">
        <x:v>https://graph.microsoft.com/v1.0/me/drive/items/01DHXXN7YTQLPUZXRUN5E3J62UE2JQUWNC</x:v>
      </x:c>
      <x:c r="W202" s="17" t="str">
        <x:v>23b62f015dafe2a95b048b78f86fcc62b469d5098289337a104bc580fd432caf</x:v>
      </x:c>
      <x:c r="X202" s="17" t="str">
        <x:v>SKU no publicado; se conserva una identidad técnica estable. Precio por confirmar.</x:v>
      </x:c>
    </x:row>
    <x:row r="203" ht="34" customHeight="1">
      <x:c r="A203" s="17" t="str">
        <x:v>IDÉLIKA</x:v>
      </x:c>
      <x:c r="B203" s="17" t="str">
        <x:v>School Series</x:v>
      </x:c>
      <x:c r="C203" s="17" t="str">
        <x:v>4 SCHOOL SERIES 2026.pdf</x:v>
      </x:c>
      <x:c r="D203" s="21" t="n">
        <x:v>6</x:v>
      </x:c>
      <x:c r="E203" s="17" t="str">
        <x:v>idelika:school-series:sin-sku:8f31da17449603d0230f</x:v>
      </x:c>
      <x:c r="F203" s="17"/>
      <x:c r="G203" s="22" t="str">
        <x:v>por_verificar</x:v>
      </x:c>
      <x:c r="H203" s="17" t="str">
        <x:v>Pupitre Mentor</x:v>
      </x:c>
      <x:c r="I203" s="17"/>
      <x:c r="J203" s="17"/>
      <x:c r="K203" s="17"/>
      <x:c r="L203" s="17" t="str">
        <x:v>59*80*85</x:v>
      </x:c>
      <x:c r="M203" s="17" t="str">
        <x:v>Medidas: 59*80*85 Estructura tubular redondo, con travesaños de asiento en tuvo redondo, terminado en pintura epóxica texturizada. Colores: Verde, vino, mostaza , azul y negro. Tus alumnos con estos pupitres, seguro sacarán las notas más altas. Cómodos e inspiradores.</x:v>
      </x:c>
      <x:c r="N203" s="22" t="str">
        <x:v>pieza</x:v>
      </x:c>
      <x:c r="O203" s="23"/>
      <x:c r="P203" s="23"/>
      <x:c r="Q203" s="17"/>
      <x:c r="R203" s="22" t="str">
        <x:v>por_confirmar</x:v>
      </x:c>
      <x:c r="S203" s="22" t="str">
        <x:v>Sí</x:v>
      </x:c>
      <x:c r="T203" s="24"/>
      <x:c r="U203" s="17" t="str">
        <x:v>https://graph.microsoft.com/v1.0/me/drive/items/01DHXXN7YTQLPUZXRUN5E3J62UE2JQUWNC#page=6</x:v>
      </x:c>
      <x:c r="V203" s="17" t="str">
        <x:v>https://graph.microsoft.com/v1.0/me/drive/items/01DHXXN7YTQLPUZXRUN5E3J62UE2JQUWNC</x:v>
      </x:c>
      <x:c r="W203" s="17" t="str">
        <x:v>8f31da17449603d0230facecabc7d95016c7bd5d3e02a3bddd43270162cdbff0</x:v>
      </x:c>
      <x:c r="X203" s="17" t="str">
        <x:v>SKU no publicado; se conserva una identidad técnica estable. Precio por confirmar.</x:v>
      </x:c>
    </x:row>
    <x:row r="204" ht="34" customHeight="1">
      <x:c r="A204" s="17" t="str">
        <x:v>IDÉLIKA</x:v>
      </x:c>
      <x:c r="B204" s="17" t="str">
        <x:v>School Series</x:v>
      </x:c>
      <x:c r="C204" s="17" t="str">
        <x:v>4 SCHOOL SERIES 2026.pdf</x:v>
      </x:c>
      <x:c r="D204" s="21" t="n">
        <x:v>7</x:v>
      </x:c>
      <x:c r="E204" s="17" t="str">
        <x:v>idelika:school-series:sin-sku:798878058b9baa705adc</x:v>
      </x:c>
      <x:c r="F204" s="17"/>
      <x:c r="G204" s="22" t="str">
        <x:v>por_verificar</x:v>
      </x:c>
      <x:c r="H204" s="17" t="str">
        <x:v>Pupitre Campus</x:v>
      </x:c>
      <x:c r="I204" s="17"/>
      <x:c r="J204" s="17"/>
      <x:c r="K204" s="17" t="str">
        <x:v>tubo de acero negro y aluminio.</x:v>
      </x:c>
      <x:c r="L204" s="17" t="str">
        <x:v>49*50*81</x:v>
      </x:c>
      <x:c r="M204" s="17" t="str">
        <x:v>Medidas: 49*50*81 Un pupitre de estructura de tubo de acero redondo 7/8 pintado con epóxica texturizada color negro y aluminio. Respaldo y asiento en una sola pieza. Diseño ergonómico que ¡será la razón de que los alumnos, quieran estudiar pese a ser la hora de salida! Producto fabricación 4 semanas</x:v>
      </x:c>
      <x:c r="N204" s="22" t="str">
        <x:v>pieza</x:v>
      </x:c>
      <x:c r="O204" s="23"/>
      <x:c r="P204" s="23"/>
      <x:c r="Q204" s="17"/>
      <x:c r="R204" s="22" t="str">
        <x:v>por_confirmar</x:v>
      </x:c>
      <x:c r="S204" s="22" t="str">
        <x:v>Sí</x:v>
      </x:c>
      <x:c r="T204" s="24"/>
      <x:c r="U204" s="17" t="str">
        <x:v>https://graph.microsoft.com/v1.0/me/drive/items/01DHXXN7YTQLPUZXRUN5E3J62UE2JQUWNC#page=7</x:v>
      </x:c>
      <x:c r="V204" s="17" t="str">
        <x:v>https://graph.microsoft.com/v1.0/me/drive/items/01DHXXN7YTQLPUZXRUN5E3J62UE2JQUWNC</x:v>
      </x:c>
      <x:c r="W204" s="17" t="str">
        <x:v>798878058b9baa705adc8b9ab48e5477e8136f5f6e02ae6f28274ae21471f367</x:v>
      </x:c>
      <x:c r="X204" s="17" t="str">
        <x:v>SKU no publicado; se conserva una identidad técnica estable. Precio por confirmar.</x:v>
      </x:c>
    </x:row>
    <x:row r="205" ht="34" customHeight="1">
      <x:c r="A205" s="17" t="str">
        <x:v>IDÉLIKA</x:v>
      </x:c>
      <x:c r="B205" s="17" t="str">
        <x:v>School Series</x:v>
      </x:c>
      <x:c r="C205" s="17" t="str">
        <x:v>4 SCHOOL SERIES 2026.pdf</x:v>
      </x:c>
      <x:c r="D205" s="21" t="n">
        <x:v>7</x:v>
      </x:c>
      <x:c r="E205" s="17" t="str">
        <x:v>idelika:school-series:sin-sku:51e4292262a8b087c079</x:v>
      </x:c>
      <x:c r="F205" s="17"/>
      <x:c r="G205" s="22" t="str">
        <x:v>por_verificar</x:v>
      </x:c>
      <x:c r="H205" s="17" t="str">
        <x:v>Silla Campus</x:v>
      </x:c>
      <x:c r="I205" s="17"/>
      <x:c r="J205" s="17"/>
      <x:c r="K205" s="17"/>
      <x:c r="L205" s="17" t="str">
        <x:v>48*49*81</x:v>
      </x:c>
      <x:c r="M205" s="17" t="str">
        <x:v>Medidas: 48*49*81 Ideal para auditorios o cafetería o cualquier uso de colectividad que requiera flexibilidad sin perder diseño disponible en 4 colores</x:v>
      </x:c>
      <x:c r="N205" s="22" t="str">
        <x:v>pieza</x:v>
      </x:c>
      <x:c r="O205" s="23"/>
      <x:c r="P205" s="23"/>
      <x:c r="Q205" s="17"/>
      <x:c r="R205" s="22" t="str">
        <x:v>por_confirmar</x:v>
      </x:c>
      <x:c r="S205" s="22" t="str">
        <x:v>Sí</x:v>
      </x:c>
      <x:c r="T205" s="24"/>
      <x:c r="U205" s="17" t="str">
        <x:v>https://graph.microsoft.com/v1.0/me/drive/items/01DHXXN7YTQLPUZXRUN5E3J62UE2JQUWNC#page=7</x:v>
      </x:c>
      <x:c r="V205" s="17" t="str">
        <x:v>https://graph.microsoft.com/v1.0/me/drive/items/01DHXXN7YTQLPUZXRUN5E3J62UE2JQUWNC</x:v>
      </x:c>
      <x:c r="W205" s="17" t="str">
        <x:v>51e4292262a8b087c079a19ba6a3c988ca63bc0192602289172ac73085ee9af8</x:v>
      </x:c>
      <x:c r="X205" s="17" t="str">
        <x:v>SKU no publicado; se conserva una identidad técnica estable. Precio por confirmar.</x:v>
      </x:c>
    </x:row>
    <x:row r="206" ht="34" customHeight="1">
      <x:c r="A206" s="17" t="str">
        <x:v>IDÉLIKA</x:v>
      </x:c>
      <x:c r="B206" s="17" t="str">
        <x:v>School Series</x:v>
      </x:c>
      <x:c r="C206" s="17" t="str">
        <x:v>4 SCHOOL SERIES 2026.pdf</x:v>
      </x:c>
      <x:c r="D206" s="21" t="n">
        <x:v>7</x:v>
      </x:c>
      <x:c r="E206" s="17" t="str">
        <x:v>idelika:school-series:sin-sku:4f4a6c9b105ec6397b33</x:v>
      </x:c>
      <x:c r="F206" s="17"/>
      <x:c r="G206" s="22" t="str">
        <x:v>por_verificar</x:v>
      </x:c>
      <x:c r="H206" s="17" t="str">
        <x:v>Banco Lab</x:v>
      </x:c>
      <x:c r="I206" s="17"/>
      <x:c r="J206" s="17"/>
      <x:c r="K206" s="17"/>
      <x:c r="L206" s="17" t="str">
        <x:v>Medidas: 55*55*63</x:v>
      </x:c>
      <x:c r="M206" s="17" t="str">
        <x:v>Medidas: 55*55*63 Asiento en polietileno de alta densidad, con UV y retardante a flama grado UL98HB Colores negro, gris y azul. Terminado en Pintura gris o negro, mecanismo de ajuste De altura tipo cajero.</x:v>
      </x:c>
      <x:c r="N206" s="22" t="str">
        <x:v>pieza</x:v>
      </x:c>
      <x:c r="O206" s="23"/>
      <x:c r="P206" s="23"/>
      <x:c r="Q206" s="17"/>
      <x:c r="R206" s="22" t="str">
        <x:v>por_confirmar</x:v>
      </x:c>
      <x:c r="S206" s="22" t="str">
        <x:v>Sí</x:v>
      </x:c>
      <x:c r="T206" s="24"/>
      <x:c r="U206" s="17" t="str">
        <x:v>https://graph.microsoft.com/v1.0/me/drive/items/01DHXXN7YTQLPUZXRUN5E3J62UE2JQUWNC#page=7</x:v>
      </x:c>
      <x:c r="V206" s="17" t="str">
        <x:v>https://graph.microsoft.com/v1.0/me/drive/items/01DHXXN7YTQLPUZXRUN5E3J62UE2JQUWNC</x:v>
      </x:c>
      <x:c r="W206" s="17" t="str">
        <x:v>4f4a6c9b105ec6397b33a6ebba93dfd9d84e867e3230b2c99b4220b288477e5c</x:v>
      </x:c>
      <x:c r="X206" s="17" t="str">
        <x:v>SKU no publicado; se conserva una identidad técnica estable. Precio por confirmar.</x:v>
      </x:c>
    </x:row>
    <x:row r="207" ht="34" customHeight="1">
      <x:c r="A207" s="17" t="str">
        <x:v>IDÉLIKA</x:v>
      </x:c>
      <x:c r="B207" s="17" t="str">
        <x:v>School Series</x:v>
      </x:c>
      <x:c r="C207" s="17" t="str">
        <x:v>4 SCHOOL SERIES 2026.pdf</x:v>
      </x:c>
      <x:c r="D207" s="21" t="n">
        <x:v>8</x:v>
      </x:c>
      <x:c r="E207" s="17" t="str">
        <x:v>idelika:school-series:sin-sku:31ec33d0028991e86901</x:v>
      </x:c>
      <x:c r="F207" s="17"/>
      <x:c r="G207" s="22" t="str">
        <x:v>por_verificar</x:v>
      </x:c>
      <x:c r="H207" s="17" t="str">
        <x:v>A) Escritorio Classroom</x:v>
      </x:c>
      <x:c r="I207" s="17"/>
      <x:c r="J207" s="17"/>
      <x:c r="K207" s="17"/>
      <x:c r="L207" s="17" t="str">
        <x:v>55*54*78</x:v>
      </x:c>
      <x:c r="M207" s="17" t="str">
        <x:v>Medidas: 55*54*78</x:v>
      </x:c>
      <x:c r="N207" s="22" t="str">
        <x:v>pieza</x:v>
      </x:c>
      <x:c r="O207" s="23"/>
      <x:c r="P207" s="23"/>
      <x:c r="Q207" s="17"/>
      <x:c r="R207" s="22" t="str">
        <x:v>por_confirmar</x:v>
      </x:c>
      <x:c r="S207" s="22" t="str">
        <x:v>Sí</x:v>
      </x:c>
      <x:c r="T207" s="24"/>
      <x:c r="U207" s="17" t="str">
        <x:v>https://graph.microsoft.com/v1.0/me/drive/items/01DHXXN7YTQLPUZXRUN5E3J62UE2JQUWNC#page=8</x:v>
      </x:c>
      <x:c r="V207" s="17" t="str">
        <x:v>https://graph.microsoft.com/v1.0/me/drive/items/01DHXXN7YTQLPUZXRUN5E3J62UE2JQUWNC</x:v>
      </x:c>
      <x:c r="W207" s="17" t="str">
        <x:v>31ec33d0028991e86901444d6f0d8b1c0b98e58b997e650994a0c4ff8ac25851</x:v>
      </x:c>
      <x:c r="X207" s="17" t="str">
        <x:v>SKU no publicado; se conserva una identidad técnica estable. Precio por confirmar.</x:v>
      </x:c>
    </x:row>
    <x:row r="208" ht="34" customHeight="1">
      <x:c r="A208" s="17" t="str">
        <x:v>IDÉLIKA</x:v>
      </x:c>
      <x:c r="B208" s="17" t="str">
        <x:v>School Series</x:v>
      </x:c>
      <x:c r="C208" s="17" t="str">
        <x:v>4 SCHOOL SERIES 2026.pdf</x:v>
      </x:c>
      <x:c r="D208" s="21" t="n">
        <x:v>8</x:v>
      </x:c>
      <x:c r="E208" s="17" t="str">
        <x:v>idelika:school-series:sin-sku:4efa9bb697b71b2a1ca2</x:v>
      </x:c>
      <x:c r="F208" s="17"/>
      <x:c r="G208" s="22" t="str">
        <x:v>por_verificar</x:v>
      </x:c>
      <x:c r="H208" s="17" t="str">
        <x:v>B) Pupitre Classroom</x:v>
      </x:c>
      <x:c r="I208" s="17"/>
      <x:c r="J208" s="17"/>
      <x:c r="K208" s="17"/>
      <x:c r="L208" s="17" t="str">
        <x:v>55*50*78</x:v>
      </x:c>
      <x:c r="M208" s="17" t="str">
        <x:v>Medidas: 55*50*78</x:v>
      </x:c>
      <x:c r="N208" s="22" t="str">
        <x:v>pieza</x:v>
      </x:c>
      <x:c r="O208" s="23"/>
      <x:c r="P208" s="23"/>
      <x:c r="Q208" s="17"/>
      <x:c r="R208" s="22" t="str">
        <x:v>por_confirmar</x:v>
      </x:c>
      <x:c r="S208" s="22" t="str">
        <x:v>Sí</x:v>
      </x:c>
      <x:c r="T208" s="24"/>
      <x:c r="U208" s="17" t="str">
        <x:v>https://graph.microsoft.com/v1.0/me/drive/items/01DHXXN7YTQLPUZXRUN5E3J62UE2JQUWNC#page=8</x:v>
      </x:c>
      <x:c r="V208" s="17" t="str">
        <x:v>https://graph.microsoft.com/v1.0/me/drive/items/01DHXXN7YTQLPUZXRUN5E3J62UE2JQUWNC</x:v>
      </x:c>
      <x:c r="W208" s="17" t="str">
        <x:v>4efa9bb697b71b2a1ca225ebb2694783f4492225304bc49187c3014f72f0ea4c</x:v>
      </x:c>
      <x:c r="X208" s="17" t="str">
        <x:v>SKU no publicado; se conserva una identidad técnica estable. Precio por confirmar.</x:v>
      </x:c>
    </x:row>
    <x:row r="209" ht="34" customHeight="1">
      <x:c r="A209" s="17" t="str">
        <x:v>IDÉLIKA</x:v>
      </x:c>
      <x:c r="B209" s="17" t="str">
        <x:v>School Series</x:v>
      </x:c>
      <x:c r="C209" s="17" t="str">
        <x:v>4 SCHOOL SERIES 2026.pdf</x:v>
      </x:c>
      <x:c r="D209" s="21" t="n">
        <x:v>8</x:v>
      </x:c>
      <x:c r="E209" s="17" t="str">
        <x:v>idelika:school-series:sin-sku:27aaddf0678eddece675</x:v>
      </x:c>
      <x:c r="F209" s="17"/>
      <x:c r="G209" s="22" t="str">
        <x:v>por_verificar</x:v>
      </x:c>
      <x:c r="H209" s="17" t="str">
        <x:v>C) Pupitre Classroom</x:v>
      </x:c>
      <x:c r="I209" s="17"/>
      <x:c r="J209" s="17"/>
      <x:c r="K209" s="17"/>
      <x:c r="L209" s="17" t="str">
        <x:v>50*50*78</x:v>
      </x:c>
      <x:c r="M209" s="17" t="str">
        <x:v>Medidas: 50*50*78</x:v>
      </x:c>
      <x:c r="N209" s="22" t="str">
        <x:v>pieza</x:v>
      </x:c>
      <x:c r="O209" s="23"/>
      <x:c r="P209" s="23"/>
      <x:c r="Q209" s="17"/>
      <x:c r="R209" s="22" t="str">
        <x:v>por_confirmar</x:v>
      </x:c>
      <x:c r="S209" s="22" t="str">
        <x:v>Sí</x:v>
      </x:c>
      <x:c r="T209" s="24"/>
      <x:c r="U209" s="17" t="str">
        <x:v>https://graph.microsoft.com/v1.0/me/drive/items/01DHXXN7YTQLPUZXRUN5E3J62UE2JQUWNC#page=8</x:v>
      </x:c>
      <x:c r="V209" s="17" t="str">
        <x:v>https://graph.microsoft.com/v1.0/me/drive/items/01DHXXN7YTQLPUZXRUN5E3J62UE2JQUWNC</x:v>
      </x:c>
      <x:c r="W209" s="17" t="str">
        <x:v>27aaddf0678eddece6750f2545c43b514fdb0ab5880740fc5f874b5d1dff13fa</x:v>
      </x:c>
      <x:c r="X209" s="17" t="str">
        <x:v>SKU no publicado; se conserva una identidad técnica estable. Precio por confirmar.</x:v>
      </x:c>
    </x:row>
    <x:row r="210" ht="34" customHeight="1">
      <x:c r="A210" s="17" t="str">
        <x:v>IDÉLIKA</x:v>
      </x:c>
      <x:c r="B210" s="17" t="str">
        <x:v>School Series</x:v>
      </x:c>
      <x:c r="C210" s="17" t="str">
        <x:v>4 SCHOOL SERIES 2026.pdf</x:v>
      </x:c>
      <x:c r="D210" s="21" t="n">
        <x:v>8</x:v>
      </x:c>
      <x:c r="E210" s="17" t="str">
        <x:v>idelika:school-series:sin-sku:21dd214d082012d1e9e2</x:v>
      </x:c>
      <x:c r="F210" s="17"/>
      <x:c r="G210" s="22" t="str">
        <x:v>por_verificar</x:v>
      </x:c>
      <x:c r="H210" s="17" t="str">
        <x:v>D) Pupitre Classroom</x:v>
      </x:c>
      <x:c r="I210" s="17"/>
      <x:c r="J210" s="17"/>
      <x:c r="K210" s="17" t="str">
        <x:v>Acero calibre 18 polipropileno uso</x:v>
      </x:c>
      <x:c r="L210" s="17" t="str">
        <x:v>50*50*78</x:v>
      </x:c>
      <x:c r="M210" s="17" t="str">
        <x:v>Medidas: 50*50*78 Acero calibre 18 Con pintura epóxica y asiento en concha de polipropileno uso Rudo. A B C D</x:v>
      </x:c>
      <x:c r="N210" s="22" t="str">
        <x:v>pieza</x:v>
      </x:c>
      <x:c r="O210" s="23"/>
      <x:c r="P210" s="23"/>
      <x:c r="Q210" s="17"/>
      <x:c r="R210" s="22" t="str">
        <x:v>por_confirmar</x:v>
      </x:c>
      <x:c r="S210" s="22" t="str">
        <x:v>Sí</x:v>
      </x:c>
      <x:c r="T210" s="24"/>
      <x:c r="U210" s="17" t="str">
        <x:v>https://graph.microsoft.com/v1.0/me/drive/items/01DHXXN7YTQLPUZXRUN5E3J62UE2JQUWNC#page=8</x:v>
      </x:c>
      <x:c r="V210" s="17" t="str">
        <x:v>https://graph.microsoft.com/v1.0/me/drive/items/01DHXXN7YTQLPUZXRUN5E3J62UE2JQUWNC</x:v>
      </x:c>
      <x:c r="W210" s="17" t="str">
        <x:v>21dd214d082012d1e9e258411591b02c5128a912a63c7485abdf54101f9a69ae</x:v>
      </x:c>
      <x:c r="X210" s="17" t="str">
        <x:v>SKU no publicado; se conserva una identidad técnica estable. Precio por confirmar.</x:v>
      </x:c>
    </x:row>
    <x:row r="211" ht="34" customHeight="1">
      <x:c r="A211" s="17" t="str">
        <x:v>IDÉLIKA</x:v>
      </x:c>
      <x:c r="B211" s="17" t="str">
        <x:v>School Series</x:v>
      </x:c>
      <x:c r="C211" s="17" t="str">
        <x:v>4 SCHOOL SERIES 2026.pdf</x:v>
      </x:c>
      <x:c r="D211" s="21" t="n">
        <x:v>8</x:v>
      </x:c>
      <x:c r="E211" s="17" t="str">
        <x:v>idelika:school-series:sin-sku:db2f0bcb9d2926fec45f</x:v>
      </x:c>
      <x:c r="F211" s="17"/>
      <x:c r="G211" s="22" t="str">
        <x:v>por_verificar</x:v>
      </x:c>
      <x:c r="H211" s="17" t="str">
        <x:v>Mesa rubic</x:v>
      </x:c>
      <x:c r="I211" s="17"/>
      <x:c r="J211" s="17"/>
      <x:c r="K211" s="17" t="str">
        <x:v>metálica de acero 4 patas de acero</x:v>
      </x:c>
      <x:c r="L211" s="17" t="str">
        <x:v>120*60*78 | 117/51*61*78</x:v>
      </x:c>
      <x:c r="M211" s="17" t="str">
        <x:v>Medidas: 120*60*78 rectangular 117/51*61*78 trapecio Estructura metálica de acero en tubular rectangular de 2¼”x3/4” cal. 18 y 4 patas de acero tubular cuadrado de 1” cal. 18, refuerzo en tubo cuadrado de 3/4” cal. 18. Varios tonos para este práctico escritorio rojo, naranja, blanco, verde, amarillo y azul. Modular para distribuciones Montessori</x:v>
      </x:c>
      <x:c r="N211" s="22" t="str">
        <x:v>pieza</x:v>
      </x:c>
      <x:c r="O211" s="23"/>
      <x:c r="P211" s="23"/>
      <x:c r="Q211" s="17"/>
      <x:c r="R211" s="22" t="str">
        <x:v>por_confirmar</x:v>
      </x:c>
      <x:c r="S211" s="22" t="str">
        <x:v>Sí</x:v>
      </x:c>
      <x:c r="T211" s="24"/>
      <x:c r="U211" s="17" t="str">
        <x:v>https://graph.microsoft.com/v1.0/me/drive/items/01DHXXN7YTQLPUZXRUN5E3J62UE2JQUWNC#page=8</x:v>
      </x:c>
      <x:c r="V211" s="17" t="str">
        <x:v>https://graph.microsoft.com/v1.0/me/drive/items/01DHXXN7YTQLPUZXRUN5E3J62UE2JQUWNC</x:v>
      </x:c>
      <x:c r="W211" s="17" t="str">
        <x:v>db2f0bcb9d2926fec45fa5109ae606cb52bfc764d50fa70ccbf8d7929bf10850</x:v>
      </x:c>
      <x:c r="X211" s="17" t="str">
        <x:v>SKU no publicado; se conserva una identidad técnica estable. Precio por confirmar.</x:v>
      </x:c>
    </x:row>
    <x:row r="212" ht="34" customHeight="1">
      <x:c r="A212" s="17" t="str">
        <x:v>IDÉLIKA</x:v>
      </x:c>
      <x:c r="B212" s="17" t="str">
        <x:v>School Series</x:v>
      </x:c>
      <x:c r="C212" s="17" t="str">
        <x:v>4 SCHOOL SERIES 2026.pdf</x:v>
      </x:c>
      <x:c r="D212" s="21" t="n">
        <x:v>9</x:v>
      </x:c>
      <x:c r="E212" s="17" t="str">
        <x:v>idelika:school-series:sin-sku:32917b9ee12dc8ff0774</x:v>
      </x:c>
      <x:c r="F212" s="17"/>
      <x:c r="G212" s="22" t="str">
        <x:v>por_verificar</x:v>
      </x:c>
      <x:c r="H212" s="17" t="str">
        <x:v>Mesa rubic minion</x:v>
      </x:c>
      <x:c r="I212" s="17"/>
      <x:c r="J212" s="17"/>
      <x:c r="K212" s="17"/>
      <x:c r="L212" s="17" t="str">
        <x:v>Medidas: 120*60*78</x:v>
      </x:c>
      <x:c r="M212" s="17" t="str">
        <x:v>Medidas: 120*60*78</x:v>
      </x:c>
      <x:c r="N212" s="22" t="str">
        <x:v>pieza</x:v>
      </x:c>
      <x:c r="O212" s="23"/>
      <x:c r="P212" s="23"/>
      <x:c r="Q212" s="17"/>
      <x:c r="R212" s="22" t="str">
        <x:v>por_confirmar</x:v>
      </x:c>
      <x:c r="S212" s="22" t="str">
        <x:v>Sí</x:v>
      </x:c>
      <x:c r="T212" s="24"/>
      <x:c r="U212" s="17" t="str">
        <x:v>https://graph.microsoft.com/v1.0/me/drive/items/01DHXXN7YTQLPUZXRUN5E3J62UE2JQUWNC#page=9</x:v>
      </x:c>
      <x:c r="V212" s="17" t="str">
        <x:v>https://graph.microsoft.com/v1.0/me/drive/items/01DHXXN7YTQLPUZXRUN5E3J62UE2JQUWNC</x:v>
      </x:c>
      <x:c r="W212" s="17" t="str">
        <x:v>32917b9ee12dc8ff0774ed1dbc5a43b13b66e5b589f0f7819483708a89e4e61f</x:v>
      </x:c>
      <x:c r="X212" s="17" t="str">
        <x:v>SKU no publicado; se conserva una identidad técnica estable. Precio por confirmar.</x:v>
      </x:c>
    </x:row>
    <x:row r="213" ht="34" customHeight="1">
      <x:c r="A213" s="17" t="str">
        <x:v>IDÉLIKA</x:v>
      </x:c>
      <x:c r="B213" s="17" t="str">
        <x:v>School Series</x:v>
      </x:c>
      <x:c r="C213" s="17" t="str">
        <x:v>4 SCHOOL SERIES 2026.pdf</x:v>
      </x:c>
      <x:c r="D213" s="21" t="n">
        <x:v>9</x:v>
      </x:c>
      <x:c r="E213" s="17" t="str">
        <x:v>idelika:school-series:sin-sku:2ad4790a770fdf8215c2</x:v>
      </x:c>
      <x:c r="F213" s="17"/>
      <x:c r="G213" s="22" t="str">
        <x:v>por_verificar</x:v>
      </x:c>
      <x:c r="H213" s="17" t="str">
        <x:v>Silla Flexus</x:v>
      </x:c>
      <x:c r="I213" s="17"/>
      <x:c r="J213" s="17"/>
      <x:c r="K213" s="17"/>
      <x:c r="L213" s="17" t="str">
        <x:v>Medidas: 34*37*60 kinder | Medidas: 33*31*57 preescolar</x:v>
      </x:c>
      <x:c r="M213" s="17" t="str">
        <x:v>Medidas: 34*37*60 kinder Medidas: 33*31*57 preescolar</x:v>
      </x:c>
      <x:c r="N213" s="22" t="str">
        <x:v>pieza</x:v>
      </x:c>
      <x:c r="O213" s="23"/>
      <x:c r="P213" s="23"/>
      <x:c r="Q213" s="17"/>
      <x:c r="R213" s="22" t="str">
        <x:v>por_confirmar</x:v>
      </x:c>
      <x:c r="S213" s="22" t="str">
        <x:v>Sí</x:v>
      </x:c>
      <x:c r="T213" s="24"/>
      <x:c r="U213" s="17" t="str">
        <x:v>https://graph.microsoft.com/v1.0/me/drive/items/01DHXXN7YTQLPUZXRUN5E3J62UE2JQUWNC#page=9</x:v>
      </x:c>
      <x:c r="V213" s="17" t="str">
        <x:v>https://graph.microsoft.com/v1.0/me/drive/items/01DHXXN7YTQLPUZXRUN5E3J62UE2JQUWNC</x:v>
      </x:c>
      <x:c r="W213" s="17" t="str">
        <x:v>2ad4790a770fdf8215c2ef59e975ed5edd4f5796bbd332c31d77fdd33475d389</x:v>
      </x:c>
      <x:c r="X213" s="17" t="str">
        <x:v>SKU no publicado; se conserva una identidad técnica estable. Precio por confirmar.</x:v>
      </x:c>
    </x:row>
    <x:row r="214" ht="34" customHeight="1">
      <x:c r="A214" s="17" t="str">
        <x:v>IDÉLIKA</x:v>
      </x:c>
      <x:c r="B214" s="17" t="str">
        <x:v>School Series</x:v>
      </x:c>
      <x:c r="C214" s="17" t="str">
        <x:v>4 SCHOOL SERIES 2026.pdf</x:v>
      </x:c>
      <x:c r="D214" s="21" t="n">
        <x:v>12</x:v>
      </x:c>
      <x:c r="E214" s="17" t="str">
        <x:v>idelika:school-series:sin-sku:8b8f709c2dd45edcc7fc</x:v>
      </x:c>
      <x:c r="F214" s="17"/>
      <x:c r="G214" s="22" t="str">
        <x:v>por_verificar</x:v>
      </x:c>
      <x:c r="H214" s="17" t="str">
        <x:v>Legión set Pic-nic</x:v>
      </x:c>
      <x:c r="I214" s="17"/>
      <x:c r="J214" s="17"/>
      <x:c r="K214" s="17" t="str">
        <x:v>Fabricado en acero tubular En concha de polipropileno Cubierta de melamina</x:v>
      </x:c>
      <x:c r="L214" s="17" t="str">
        <x:v>Cubierta 120*60 | Medida total 120*160*82</x:v>
      </x:c>
      <x:c r="M214" s="17" t="str">
        <x:v>Cubierta 120*60 Medida total 120*160*82 Fabricado en acero tubular Calibre 18 con pintura Electroestática y asiento En concha de polipropileno Cubierta de melamina Encapsulada apta para Exteriores. Pedido exclusivo de Importación. Consultar tiempos de Entrega. Producto exclusivo de importación mínimo 10 sets</x:v>
      </x:c>
      <x:c r="N214" s="22" t="str">
        <x:v>pieza</x:v>
      </x:c>
      <x:c r="O214" s="23"/>
      <x:c r="P214" s="23"/>
      <x:c r="Q214" s="17"/>
      <x:c r="R214" s="22" t="str">
        <x:v>por_confirmar</x:v>
      </x:c>
      <x:c r="S214" s="22" t="str">
        <x:v>Sí</x:v>
      </x:c>
      <x:c r="T214" s="24" t="n">
        <x:v>10</x:v>
      </x:c>
      <x:c r="U214" s="17" t="str">
        <x:v>https://graph.microsoft.com/v1.0/me/drive/items/01DHXXN7YTQLPUZXRUN5E3J62UE2JQUWNC#page=12</x:v>
      </x:c>
      <x:c r="V214" s="17" t="str">
        <x:v>https://graph.microsoft.com/v1.0/me/drive/items/01DHXXN7YTQLPUZXRUN5E3J62UE2JQUWNC</x:v>
      </x:c>
      <x:c r="W214" s="17" t="str">
        <x:v>8b8f709c2dd45edcc7fc09cfb47b8db0dc739100044af02791dc22361b279b10</x:v>
      </x:c>
      <x:c r="X214" s="17" t="str">
        <x:v>SKU no publicado; se conserva una identidad técnica estable. Precio por confirmar.</x:v>
      </x:c>
    </x:row>
    <x:row r="215" ht="34" customHeight="1">
      <x:c r="A215" s="17" t="str">
        <x:v>IDÉLIKA</x:v>
      </x:c>
      <x:c r="B215" s="17" t="str">
        <x:v>School Series</x:v>
      </x:c>
      <x:c r="C215" s="17" t="str">
        <x:v>4 SCHOOL SERIES 2026.pdf</x:v>
      </x:c>
      <x:c r="D215" s="21" t="n">
        <x:v>13</x:v>
      </x:c>
      <x:c r="E215" s="17" t="str">
        <x:v>idelika:school-series:sin-sku:4cd2f6e32aba4f21f648</x:v>
      </x:c>
      <x:c r="F215" s="17"/>
      <x:c r="G215" s="22" t="str">
        <x:v>por_verificar</x:v>
      </x:c>
      <x:c r="H215" s="17" t="str">
        <x:v>Silla Jous primaria</x:v>
      </x:c>
      <x:c r="I215" s="17"/>
      <x:c r="J215" s="17"/>
      <x:c r="K215" s="17" t="str">
        <x:v>Fabricado en acero tubular En concha de polipropileno</x:v>
      </x:c>
      <x:c r="L215" s="17"/>
      <x:c r="M215" s="17" t="str">
        <x:v>Fabricado en acero tubular Calibre 18 con pintura Electroestática y asiento En concha de polipropileno</x:v>
      </x:c>
      <x:c r="N215" s="22" t="str">
        <x:v>pieza</x:v>
      </x:c>
      <x:c r="O215" s="23"/>
      <x:c r="P215" s="23"/>
      <x:c r="Q215" s="17"/>
      <x:c r="R215" s="22" t="str">
        <x:v>por_confirmar</x:v>
      </x:c>
      <x:c r="S215" s="22" t="str">
        <x:v>Sí</x:v>
      </x:c>
      <x:c r="T215" s="24"/>
      <x:c r="U215" s="17" t="str">
        <x:v>https://graph.microsoft.com/v1.0/me/drive/items/01DHXXN7YTQLPUZXRUN5E3J62UE2JQUWNC#page=13</x:v>
      </x:c>
      <x:c r="V215" s="17" t="str">
        <x:v>https://graph.microsoft.com/v1.0/me/drive/items/01DHXXN7YTQLPUZXRUN5E3J62UE2JQUWNC</x:v>
      </x:c>
      <x:c r="W215" s="17" t="str">
        <x:v>4cd2f6e32aba4f21f6487473ad4ac7c794e083af438929ac9ff01968b0d54b41</x:v>
      </x:c>
      <x:c r="X215" s="17" t="str">
        <x:v>SKU no publicado; se conserva una identidad técnica estable. Precio por confirmar.</x:v>
      </x:c>
    </x:row>
    <x:row r="216" ht="34" customHeight="1">
      <x:c r="A216" s="17" t="str">
        <x:v>IDÉLIKA</x:v>
      </x:c>
      <x:c r="B216" s="17" t="str">
        <x:v>School Series</x:v>
      </x:c>
      <x:c r="C216" s="17" t="str">
        <x:v>4 SCHOOL SERIES 2026.pdf</x:v>
      </x:c>
      <x:c r="D216" s="21" t="n">
        <x:v>13</x:v>
      </x:c>
      <x:c r="E216" s="17" t="str">
        <x:v>idelika:school-series:sin-sku:cf9853aa4f28f556a9cf</x:v>
      </x:c>
      <x:c r="F216" s="17"/>
      <x:c r="G216" s="22" t="str">
        <x:v>por_verificar</x:v>
      </x:c>
      <x:c r="H216" s="17" t="str">
        <x:v>Mesa architect</x:v>
      </x:c>
      <x:c r="I216" s="17"/>
      <x:c r="J216" s="17"/>
      <x:c r="K216" s="17" t="str">
        <x:v>Fabricado en acero tubular En laminado plástico</x:v>
      </x:c>
      <x:c r="L216" s="17" t="str">
        <x:v>Medida: 64*48*71</x:v>
      </x:c>
      <x:c r="M216" s="17" t="str">
        <x:v>Medida: 64*48*71 Fabricado en acero tubular Calibre 18 con pintura Electroestática y cubierta En laminado plástico</x:v>
      </x:c>
      <x:c r="N216" s="22" t="str">
        <x:v>pieza</x:v>
      </x:c>
      <x:c r="O216" s="23"/>
      <x:c r="P216" s="23"/>
      <x:c r="Q216" s="17"/>
      <x:c r="R216" s="22" t="str">
        <x:v>por_confirmar</x:v>
      </x:c>
      <x:c r="S216" s="22" t="str">
        <x:v>Sí</x:v>
      </x:c>
      <x:c r="T216" s="24"/>
      <x:c r="U216" s="17" t="str">
        <x:v>https://graph.microsoft.com/v1.0/me/drive/items/01DHXXN7YTQLPUZXRUN5E3J62UE2JQUWNC#page=13</x:v>
      </x:c>
      <x:c r="V216" s="17" t="str">
        <x:v>https://graph.microsoft.com/v1.0/me/drive/items/01DHXXN7YTQLPUZXRUN5E3J62UE2JQUWNC</x:v>
      </x:c>
      <x:c r="W216" s="17" t="str">
        <x:v>cf9853aa4f28f556a9cfc2866bbc7147b02322ef089d74a82e4d1f4ab78f7818</x:v>
      </x:c>
      <x:c r="X216" s="17" t="str">
        <x:v>SKU no publicado; se conserva una identidad técnica estable. Precio por confirmar.</x:v>
      </x:c>
    </x:row>
    <x:row r="217" ht="34" customHeight="1">
      <x:c r="A217" s="17" t="str">
        <x:v>IDÉLIKA</x:v>
      </x:c>
      <x:c r="B217" s="17" t="str">
        <x:v>School Series</x:v>
      </x:c>
      <x:c r="C217" s="17" t="str">
        <x:v>4 SCHOOL SERIES 2026.pdf</x:v>
      </x:c>
      <x:c r="D217" s="21" t="n">
        <x:v>13</x:v>
      </x:c>
      <x:c r="E217" s="17" t="str">
        <x:v>idelika:school-series:sin-sku:c267f2fe68d935500602</x:v>
      </x:c>
      <x:c r="F217" s="17"/>
      <x:c r="G217" s="22" t="str">
        <x:v>por_verificar</x:v>
      </x:c>
      <x:c r="H217" s="17" t="str">
        <x:v>Eco pupitre</x:v>
      </x:c>
      <x:c r="I217" s="17"/>
      <x:c r="J217" s="17"/>
      <x:c r="K217" s="17" t="str">
        <x:v>Fabricado en acero tubular En laminado plástico Concha de polipropileno</x:v>
      </x:c>
      <x:c r="L217" s="17" t="str">
        <x:v>Medida: 58*50*78</x:v>
      </x:c>
      <x:c r="M217" s="17" t="str">
        <x:v>Medida: 58*50*78 Fabricado en acero tubular Calibre 18 con pintura Electroestática y cubierta En laminado plástico Concha de polipropileno</x:v>
      </x:c>
      <x:c r="N217" s="22" t="str">
        <x:v>pieza</x:v>
      </x:c>
      <x:c r="O217" s="23"/>
      <x:c r="P217" s="23"/>
      <x:c r="Q217" s="17"/>
      <x:c r="R217" s="22" t="str">
        <x:v>por_confirmar</x:v>
      </x:c>
      <x:c r="S217" s="22" t="str">
        <x:v>Sí</x:v>
      </x:c>
      <x:c r="T217" s="24"/>
      <x:c r="U217" s="17" t="str">
        <x:v>https://graph.microsoft.com/v1.0/me/drive/items/01DHXXN7YTQLPUZXRUN5E3J62UE2JQUWNC#page=13</x:v>
      </x:c>
      <x:c r="V217" s="17" t="str">
        <x:v>https://graph.microsoft.com/v1.0/me/drive/items/01DHXXN7YTQLPUZXRUN5E3J62UE2JQUWNC</x:v>
      </x:c>
      <x:c r="W217" s="17" t="str">
        <x:v>c267f2fe68d935500602e536fea31b8d28bc040f3ed4753833f2630046d7e793</x:v>
      </x:c>
      <x:c r="X217" s="17" t="str">
        <x:v>SKU no publicado; se conserva una identidad técnica estable. Precio por confirmar.</x:v>
      </x:c>
    </x:row>
    <x:row r="218" ht="34" customHeight="1">
      <x:c r="A218" s="17" t="str">
        <x:v>IDÉLIKA</x:v>
      </x:c>
      <x:c r="B218" s="17" t="str">
        <x:v>School Series</x:v>
      </x:c>
      <x:c r="C218" s="17" t="str">
        <x:v>4 SCHOOL SERIES 2026.pdf</x:v>
      </x:c>
      <x:c r="D218" s="21" t="n">
        <x:v>13</x:v>
      </x:c>
      <x:c r="E218" s="17" t="str">
        <x:v>idelika:school-series:sin-sku:ef2c4f4b1cb43b4ae587</x:v>
      </x:c>
      <x:c r="F218" s="17"/>
      <x:c r="G218" s="22" t="str">
        <x:v>por_verificar</x:v>
      </x:c>
      <x:c r="H218" s="17" t="str">
        <x:v>Pintarrón interactivo</x:v>
      </x:c>
      <x:c r="I218" s="17"/>
      <x:c r="J218" s="17"/>
      <x:c r="K218" s="17"/>
      <x:c r="L218" s="17" t="str">
        <x:v>Importación 177*122</x:v>
      </x:c>
      <x:c r="M218" s="17" t="str">
        <x:v>Metálico porcelanizado, interface USB compatible con windows 7 a 10, tecnología touch screen (no incluye el proyector)</x:v>
      </x:c>
      <x:c r="N218" s="22" t="str">
        <x:v>pieza</x:v>
      </x:c>
      <x:c r="O218" s="23"/>
      <x:c r="P218" s="23"/>
      <x:c r="Q218" s="17"/>
      <x:c r="R218" s="22" t="str">
        <x:v>por_confirmar</x:v>
      </x:c>
      <x:c r="S218" s="22" t="str">
        <x:v>Sí</x:v>
      </x:c>
      <x:c r="T218" s="24"/>
      <x:c r="U218" s="17" t="str">
        <x:v>https://graph.microsoft.com/v1.0/me/drive/items/01DHXXN7YTQLPUZXRUN5E3J62UE2JQUWNC#page=13</x:v>
      </x:c>
      <x:c r="V218" s="17" t="str">
        <x:v>https://graph.microsoft.com/v1.0/me/drive/items/01DHXXN7YTQLPUZXRUN5E3J62UE2JQUWNC</x:v>
      </x:c>
      <x:c r="W218" s="17" t="str">
        <x:v>ef2c4f4b1cb43b4ae58739e68e8cf02fee6eb5fc903ce529cbdf2a13ca409966</x:v>
      </x:c>
      <x:c r="X218" s="17" t="str">
        <x:v>SKU no publicado; se conserva una identidad técnica estable. Precio por confirmar.</x:v>
      </x:c>
    </x:row>
    <x:row r="219" ht="34" customHeight="1">
      <x:c r="A219" s="17" t="str">
        <x:v>IDÉLIKA</x:v>
      </x:c>
      <x:c r="B219" s="17" t="str">
        <x:v>School Series</x:v>
      </x:c>
      <x:c r="C219" s="17" t="str">
        <x:v>4 SCHOOL SERIES 2026.pdf</x:v>
      </x:c>
      <x:c r="D219" s="21" t="n">
        <x:v>13</x:v>
      </x:c>
      <x:c r="E219" s="17" t="str">
        <x:v>idelika:school-series:sin-sku:1546c1d8554afdb92814</x:v>
      </x:c>
      <x:c r="F219" s="17"/>
      <x:c r="G219" s="22" t="str">
        <x:v>por_verificar</x:v>
      </x:c>
      <x:c r="H219" s="17" t="str">
        <x:v>Pintarrón White star</x:v>
      </x:c>
      <x:c r="I219" s="17"/>
      <x:c r="J219" s="17"/>
      <x:c r="K219" s="17" t="str">
        <x:v>aluminio anodizado antióxido</x:v>
      </x:c>
      <x:c r="L219" s="17" t="str">
        <x:v>Importación 240*120</x:v>
      </x:c>
      <x:c r="M219" s="17" t="str">
        <x:v>Material: Pintarrón blanco con borde de aluminio anodizado antióxido</x:v>
      </x:c>
      <x:c r="N219" s="22" t="str">
        <x:v>pieza</x:v>
      </x:c>
      <x:c r="O219" s="23"/>
      <x:c r="P219" s="23"/>
      <x:c r="Q219" s="17"/>
      <x:c r="R219" s="22" t="str">
        <x:v>por_confirmar</x:v>
      </x:c>
      <x:c r="S219" s="22" t="str">
        <x:v>Sí</x:v>
      </x:c>
      <x:c r="T219" s="24"/>
      <x:c r="U219" s="17" t="str">
        <x:v>https://graph.microsoft.com/v1.0/me/drive/items/01DHXXN7YTQLPUZXRUN5E3J62UE2JQUWNC#page=13</x:v>
      </x:c>
      <x:c r="V219" s="17" t="str">
        <x:v>https://graph.microsoft.com/v1.0/me/drive/items/01DHXXN7YTQLPUZXRUN5E3J62UE2JQUWNC</x:v>
      </x:c>
      <x:c r="W219" s="17" t="str">
        <x:v>1546c1d8554afdb9281443cf46292fab227e0268471af198d77848b897537331</x:v>
      </x:c>
      <x:c r="X219" s="17" t="str">
        <x:v>SKU no publicado; se conserva una identidad técnica estable. Precio por confirmar.</x:v>
      </x:c>
    </x:row>
    <x:row r="220" ht="34" customHeight="1">
      <x:c r="A220" s="17" t="str">
        <x:v>IDÉLIKA</x:v>
      </x:c>
      <x:c r="B220" s="17" t="str">
        <x:v>School Series</x:v>
      </x:c>
      <x:c r="C220" s="17" t="str">
        <x:v>4 SCHOOL SERIES 2026.pdf</x:v>
      </x:c>
      <x:c r="D220" s="21" t="n">
        <x:v>13</x:v>
      </x:c>
      <x:c r="E220" s="17" t="str">
        <x:v>idelika:school-series:sin-sku:a3baa6fd91c89db31755</x:v>
      </x:c>
      <x:c r="F220" s="17"/>
      <x:c r="G220" s="22" t="str">
        <x:v>por_verificar</x:v>
      </x:c>
      <x:c r="H220" s="17" t="str">
        <x:v>Pintarrón pedestal giratorio</x:v>
      </x:c>
      <x:c r="I220" s="17"/>
      <x:c r="J220" s="17"/>
      <x:c r="K220" s="17" t="str">
        <x:v>Material: Pintarrón blanco con borde de aluminio anodizado</x:v>
      </x:c>
      <x:c r="L220" s="17" t="str">
        <x:v>Importación 180*120</x:v>
      </x:c>
      <x:c r="M220" s="17" t="str">
        <x:v>Material: Pintarrón blanco con borde de aluminio anodizado antióxido</x:v>
      </x:c>
      <x:c r="N220" s="22" t="str">
        <x:v>pieza</x:v>
      </x:c>
      <x:c r="O220" s="23"/>
      <x:c r="P220" s="23"/>
      <x:c r="Q220" s="17"/>
      <x:c r="R220" s="22" t="str">
        <x:v>por_confirmar</x:v>
      </x:c>
      <x:c r="S220" s="22" t="str">
        <x:v>Sí</x:v>
      </x:c>
      <x:c r="T220" s="24"/>
      <x:c r="U220" s="17" t="str">
        <x:v>https://graph.microsoft.com/v1.0/me/drive/items/01DHXXN7YTQLPUZXRUN5E3J62UE2JQUWNC#page=13</x:v>
      </x:c>
      <x:c r="V220" s="17" t="str">
        <x:v>https://graph.microsoft.com/v1.0/me/drive/items/01DHXXN7YTQLPUZXRUN5E3J62UE2JQUWNC</x:v>
      </x:c>
      <x:c r="W220" s="17" t="str">
        <x:v>a3baa6fd91c89db31755615cdb713bb23327243a01885113ba97ca8249f5c757</x:v>
      </x:c>
      <x:c r="X220" s="17" t="str">
        <x:v>SKU no publicado; se conserva una identidad técnica estable. Precio por confirmar.</x:v>
      </x:c>
    </x:row>
    <x:row r="221" ht="34" customHeight="1">
      <x:c r="A221" s="17" t="str">
        <x:v>IDÉLIKA</x:v>
      </x:c>
      <x:c r="B221" s="17" t="str">
        <x:v>School Series</x:v>
      </x:c>
      <x:c r="C221" s="17" t="str">
        <x:v>4 SCHOOL SERIES 2026.pdf</x:v>
      </x:c>
      <x:c r="D221" s="21" t="n">
        <x:v>13</x:v>
      </x:c>
      <x:c r="E221" s="17" t="str">
        <x:v>idelika:school-series:sin-sku:9082ce3e95b8d9a9d91a</x:v>
      </x:c>
      <x:c r="F221" s="17"/>
      <x:c r="G221" s="22" t="str">
        <x:v>por_verificar</x:v>
      </x:c>
      <x:c r="H221" s="17" t="str">
        <x:v>Touch all in one 65” o 86”</x:v>
      </x:c>
      <x:c r="I221" s="17"/>
      <x:c r="J221" s="17"/>
      <x:c r="K221" s="17"/>
      <x:c r="L221" s="17" t="str">
        <x:v>Importación 142*80 ó 190*106</x:v>
      </x:c>
      <x:c r="M221" s="17" t="str">
        <x:v>Tecnología touch, resolución 4k, compatible con diversos sistemas operativos, incluye sistema Android.</x:v>
      </x:c>
      <x:c r="N221" s="22" t="str">
        <x:v>pieza</x:v>
      </x:c>
      <x:c r="O221" s="23"/>
      <x:c r="P221" s="23"/>
      <x:c r="Q221" s="17"/>
      <x:c r="R221" s="22" t="str">
        <x:v>por_confirmar</x:v>
      </x:c>
      <x:c r="S221" s="22" t="str">
        <x:v>Sí</x:v>
      </x:c>
      <x:c r="T221" s="24"/>
      <x:c r="U221" s="17" t="str">
        <x:v>https://graph.microsoft.com/v1.0/me/drive/items/01DHXXN7YTQLPUZXRUN5E3J62UE2JQUWNC#page=13</x:v>
      </x:c>
      <x:c r="V221" s="17" t="str">
        <x:v>https://graph.microsoft.com/v1.0/me/drive/items/01DHXXN7YTQLPUZXRUN5E3J62UE2JQUWNC</x:v>
      </x:c>
      <x:c r="W221" s="17" t="str">
        <x:v>9082ce3e95b8d9a9d91aaaa96eab4d95604ab3d265ff070321b32642e151338d</x:v>
      </x:c>
      <x:c r="X221" s="17" t="str">
        <x:v>SKU no publicado; se conserva una identidad técnica estable. Precio por confirmar.</x:v>
      </x:c>
    </x:row>
  </x:sheetData>
  <x:pageMargins left="0.7" right="0.7" top="0.75" bottom="0.75" header="0.3" footer="0.3"/>
  <x:tableParts count="1">
    <x:tablePart xmlns:r="http://schemas.openxmlformats.org/officeDocument/2006/relationships" r:id="Ra37dddfdc8324750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7" hidden="0" customWidth="1"/>
    <x:col min="3" max="3" width="36" hidden="0" customWidth="1"/>
    <x:col min="4" max="4" width="12" hidden="0" customWidth="1"/>
    <x:col min="5" max="5" width="35" hidden="0" customWidth="1"/>
    <x:col min="6" max="6" width="15" hidden="0" customWidth="1"/>
    <x:col min="7" max="7" width="15" hidden="0" customWidth="1"/>
    <x:col min="8" max="8" width="28" hidden="0" customWidth="1"/>
    <x:col min="9" max="9" width="22" hidden="0" customWidth="1"/>
    <x:col min="10" max="10" width="24" hidden="0" customWidth="1"/>
    <x:col min="11" max="11" width="30" hidden="0" customWidth="1"/>
    <x:col min="12" max="12" width="25" hidden="0" customWidth="1"/>
    <x:col min="13" max="13" width="52" hidden="0" customWidth="1"/>
    <x:col min="14" max="14" width="11" hidden="0" customWidth="1"/>
    <x:col min="15" max="15" width="18" hidden="0" customWidth="1"/>
    <x:col min="16" max="16" width="23" hidden="0" customWidth="1"/>
    <x:col min="17" max="17" width="28" hidden="0" customWidth="1"/>
    <x:col min="18" max="18" width="17" hidden="0" customWidth="1"/>
    <x:col min="19" max="19" width="12" hidden="0" customWidth="1"/>
    <x:col min="20" max="20" width="15" hidden="0" customWidth="1"/>
    <x:col min="21" max="21" width="45" hidden="0" customWidth="1"/>
    <x:col min="22" max="22" width="47" hidden="0" customWidth="1"/>
    <x:col min="23" max="23" width="67" hidden="0" customWidth="1"/>
    <x:col min="24" max="24" width="48" hidden="0" customWidth="1"/>
  </x:cols>
  <x:sheetData>
    <x:row r="1" ht="36" customHeight="1">
      <x:c r="A1" s="12" t="str">
        <x:v>Proveedor</x:v>
      </x:c>
      <x:c r="B1" s="13" t="str">
        <x:v>Subcatalogo</x:v>
      </x:c>
      <x:c r="C1" s="13" t="str">
        <x:v>Archivo_origen</x:v>
      </x:c>
      <x:c r="D1" s="13" t="str">
        <x:v>Pagina_origen</x:v>
      </x:c>
      <x:c r="E1" s="13" t="str">
        <x:v>Clave_estable</x:v>
      </x:c>
      <x:c r="F1" s="13" t="str">
        <x:v>SKU</x:v>
      </x:c>
      <x:c r="G1" s="13" t="str">
        <x:v>Estado_codigo</x:v>
      </x:c>
      <x:c r="H1" s="13" t="str">
        <x:v>Producto</x:v>
      </x:c>
      <x:c r="I1" s="13" t="str">
        <x:v>Familia</x:v>
      </x:c>
      <x:c r="J1" s="13" t="str">
        <x:v>Variante</x:v>
      </x:c>
      <x:c r="K1" s="13" t="str">
        <x:v>Material</x:v>
      </x:c>
      <x:c r="L1" s="13" t="str">
        <x:v>Medidas</x:v>
      </x:c>
      <x:c r="M1" s="13" t="str">
        <x:v>Descripcion</x:v>
      </x:c>
      <x:c r="N1" s="13" t="str">
        <x:v>Unidad</x:v>
      </x:c>
      <x:c r="O1" s="13" t="str">
        <x:v>Costo_MXN</x:v>
      </x:c>
      <x:c r="P1" s="13" t="str">
        <x:v>Precio_referencia_MXN</x:v>
      </x:c>
      <x:c r="Q1" s="13" t="str">
        <x:v>Precio_original</x:v>
      </x:c>
      <x:c r="R1" s="13" t="str">
        <x:v>Estado_precio</x:v>
      </x:c>
      <x:c r="S1" s="13" t="str">
        <x:v>Cotizable</x:v>
      </x:c>
      <x:c r="T1" s="13" t="str">
        <x:v>Minimo_compra</x:v>
      </x:c>
      <x:c r="U1" s="13" t="str">
        <x:v>Imagen_referencia</x:v>
      </x:c>
      <x:c r="V1" s="13" t="str">
        <x:v>URL_fuente</x:v>
      </x:c>
      <x:c r="W1" s="13" t="str">
        <x:v>Identidad_hash</x:v>
      </x:c>
      <x:c r="X1" s="14" t="str">
        <x:v>Notas</x:v>
      </x:c>
    </x:row>
    <x:row r="2" ht="34" customHeight="1">
      <x:c r="A2" s="17" t="str">
        <x:v>IDÉLIKA</x:v>
      </x:c>
      <x:c r="B2" s="17" t="str">
        <x:v>Fabricacion</x:v>
      </x:c>
      <x:c r="C2" s="17" t="str">
        <x:v>1 CATALOGO FABRICACION 2026B.pdf</x:v>
      </x:c>
      <x:c r="D2" s="21" t="n">
        <x:v>2</x:v>
      </x:c>
      <x:c r="E2" s="17" t="str">
        <x:v>idelika:fabricacion:sin-sku:2893bcc7cf502835d1b3</x:v>
      </x:c>
      <x:c r="F2" s="17"/>
      <x:c r="G2" s="22" t="str">
        <x:v>por_verificar</x:v>
      </x:c>
      <x:c r="H2" s="17" t="str">
        <x:v>Mesa Centro Nagi</x:v>
      </x:c>
      <x:c r="I2" s="17"/>
      <x:c r="J2" s="17"/>
      <x:c r="K2" s="17" t="str">
        <x:v>Madera pino chileno</x:v>
      </x:c>
      <x:c r="L2" s="17" t="str">
        <x:v>100*100*35 alto</x:v>
      </x:c>
      <x:c r="M2" s="17" t="str">
        <x:v>100*100*35 alto Madera pino chileno</x:v>
      </x:c>
      <x:c r="N2" s="22" t="str">
        <x:v>pieza</x:v>
      </x:c>
      <x:c r="O2" s="23" t="n">
        <x:v>9990</x:v>
      </x:c>
      <x:c r="P2" s="23" t="n">
        <x:v>11990</x:v>
      </x:c>
      <x:c r="Q2" s="17" t="str">
        <x:v>$11,990 – $9,990</x:v>
      </x:c>
      <x:c r="R2" s="22" t="str">
        <x:v>confirmado</x:v>
      </x:c>
      <x:c r="S2" s="22" t="str">
        <x:v>Sí</x:v>
      </x:c>
      <x:c r="T2" s="24"/>
      <x:c r="U2" s="17" t="str">
        <x:v>https://graph.microsoft.com/v1.0/me/drive/items/01DHXXN7YJMCJUVPBWNJEJPJIH7B4OTAUR#page=2</x:v>
      </x:c>
      <x:c r="V2" s="17" t="str">
        <x:v>https://graph.microsoft.com/v1.0/me/drive/items/01DHXXN7YJMCJUVPBWNJEJPJIH7B4OTAUR</x:v>
      </x:c>
      <x:c r="W2" s="17" t="str">
        <x:v>2893bcc7cf502835d1b3b26cf8b92e5e084f341aafa3ec84a7f16bf8574914cb</x:v>
      </x:c>
      <x:c r="X2" s="17" t="str">
        <x:v>SKU no publicado; se conserva una identidad técnica estable.</x:v>
      </x:c>
    </x:row>
    <x:row r="3" ht="34" customHeight="1">
      <x:c r="A3" s="17" t="str">
        <x:v>IDÉLIKA</x:v>
      </x:c>
      <x:c r="B3" s="17" t="str">
        <x:v>Fabricacion</x:v>
      </x:c>
      <x:c r="C3" s="17" t="str">
        <x:v>1 CATALOGO FABRICACION 2026B.pdf</x:v>
      </x:c>
      <x:c r="D3" s="21" t="n">
        <x:v>2</x:v>
      </x:c>
      <x:c r="E3" s="17" t="str">
        <x:v>idelika:fabricacion:sin-sku:1d4bfc68afcee1d1ea5b</x:v>
      </x:c>
      <x:c r="F3" s="17"/>
      <x:c r="G3" s="22" t="str">
        <x:v>por_verificar</x:v>
      </x:c>
      <x:c r="H3" s="17" t="str">
        <x:v>Mesa auxiliar Nagi</x:v>
      </x:c>
      <x:c r="I3" s="17"/>
      <x:c r="J3" s="17"/>
      <x:c r="K3" s="17" t="str">
        <x:v>Madera pino chileno</x:v>
      </x:c>
      <x:c r="L3" s="17" t="str">
        <x:v>40*40*55 alto</x:v>
      </x:c>
      <x:c r="M3" s="17" t="str">
        <x:v>40*40*55 alto Madera pino chileno</x:v>
      </x:c>
      <x:c r="N3" s="22" t="str">
        <x:v>pieza</x:v>
      </x:c>
      <x:c r="O3" s="23" t="n">
        <x:v>3999</x:v>
      </x:c>
      <x:c r="P3" s="23" t="n">
        <x:v>4990</x:v>
      </x:c>
      <x:c r="Q3" s="17" t="str">
        <x:v>$4,990 – $3,999</x:v>
      </x:c>
      <x:c r="R3" s="22" t="str">
        <x:v>confirmado</x:v>
      </x:c>
      <x:c r="S3" s="22" t="str">
        <x:v>Sí</x:v>
      </x:c>
      <x:c r="T3" s="24"/>
      <x:c r="U3" s="17" t="str">
        <x:v>https://graph.microsoft.com/v1.0/me/drive/items/01DHXXN7YJMCJUVPBWNJEJPJIH7B4OTAUR#page=2</x:v>
      </x:c>
      <x:c r="V3" s="17" t="str">
        <x:v>https://graph.microsoft.com/v1.0/me/drive/items/01DHXXN7YJMCJUVPBWNJEJPJIH7B4OTAUR</x:v>
      </x:c>
      <x:c r="W3" s="17" t="str">
        <x:v>1d4bfc68afcee1d1ea5b16d9e63dc26ba6a73b74c3f210df7a53e44ae8dc328d</x:v>
      </x:c>
      <x:c r="X3" s="17" t="str">
        <x:v>SKU no publicado; se conserva una identidad técnica estable.</x:v>
      </x:c>
    </x:row>
    <x:row r="4" ht="34" customHeight="1">
      <x:c r="A4" s="17" t="str">
        <x:v>IDÉLIKA</x:v>
      </x:c>
      <x:c r="B4" s="17" t="str">
        <x:v>Fabricacion</x:v>
      </x:c>
      <x:c r="C4" s="17" t="str">
        <x:v>1 CATALOGO FABRICACION 2026B.pdf</x:v>
      </x:c>
      <x:c r="D4" s="21" t="n">
        <x:v>3</x:v>
      </x:c>
      <x:c r="E4" s="17" t="str">
        <x:v>idelika:fabricacion:sin-sku:bd60b3308119f2f17c39</x:v>
      </x:c>
      <x:c r="F4" s="17"/>
      <x:c r="G4" s="22" t="str">
        <x:v>por_verificar</x:v>
      </x:c>
      <x:c r="H4" s="17" t="str">
        <x:v>Mesa comedor Kanso</x:v>
      </x:c>
      <x:c r="I4" s="17" t="str">
        <x:v>Wabi</x:v>
      </x:c>
      <x:c r="J4" s="17"/>
      <x:c r="K4" s="17" t="str">
        <x:v>Madera de Rosa morada</x:v>
      </x:c>
      <x:c r="L4" s="17" t="str">
        <x:v>140*140*75 alto</x:v>
      </x:c>
      <x:c r="M4" s="17" t="str">
        <x:v>140*140*75 alto Madera de Rosa morada</x:v>
      </x:c>
      <x:c r="N4" s="22" t="str">
        <x:v>pieza</x:v>
      </x:c>
      <x:c r="O4" s="23" t="n">
        <x:v>17990</x:v>
      </x:c>
      <x:c r="P4" s="23" t="n">
        <x:v>19990</x:v>
      </x:c>
      <x:c r="Q4" s="17" t="str">
        <x:v>$19,990 – $17,990</x:v>
      </x:c>
      <x:c r="R4" s="22" t="str">
        <x:v>confirmado</x:v>
      </x:c>
      <x:c r="S4" s="22" t="str">
        <x:v>Sí</x:v>
      </x:c>
      <x:c r="T4" s="24"/>
      <x:c r="U4" s="17" t="str">
        <x:v>https://graph.microsoft.com/v1.0/me/drive/items/01DHXXN7YJMCJUVPBWNJEJPJIH7B4OTAUR#page=3</x:v>
      </x:c>
      <x:c r="V4" s="17" t="str">
        <x:v>https://graph.microsoft.com/v1.0/me/drive/items/01DHXXN7YJMCJUVPBWNJEJPJIH7B4OTAUR</x:v>
      </x:c>
      <x:c r="W4" s="17" t="str">
        <x:v>bd60b3308119f2f17c39bed3fe2195305978fd69551617058030a722c9012948</x:v>
      </x:c>
      <x:c r="X4" s="17" t="str">
        <x:v>SKU no publicado; se conserva una identidad técnica estable.</x:v>
      </x:c>
    </x:row>
    <x:row r="5" ht="34" customHeight="1">
      <x:c r="A5" s="17" t="str">
        <x:v>IDÉLIKA</x:v>
      </x:c>
      <x:c r="B5" s="17" t="str">
        <x:v>Fabricacion</x:v>
      </x:c>
      <x:c r="C5" s="17" t="str">
        <x:v>1 CATALOGO FABRICACION 2026B.pdf</x:v>
      </x:c>
      <x:c r="D5" s="21" t="n">
        <x:v>3</x:v>
      </x:c>
      <x:c r="E5" s="17" t="str">
        <x:v>idelika:fabricacion:sin-sku:68e33fdd3221d49ac65c</x:v>
      </x:c>
      <x:c r="F5" s="17"/>
      <x:c r="G5" s="22" t="str">
        <x:v>por_verificar</x:v>
      </x:c>
      <x:c r="H5" s="17" t="str">
        <x:v>Mesa comedor Kuro</x:v>
      </x:c>
      <x:c r="I5" s="17" t="str">
        <x:v>Wabi</x:v>
      </x:c>
      <x:c r="J5" s="17"/>
      <x:c r="K5" s="17" t="str">
        <x:v>Madera de Rosa morada</x:v>
      </x:c>
      <x:c r="L5" s="17" t="str">
        <x:v>140*140*75 alto</x:v>
      </x:c>
      <x:c r="M5" s="17" t="str">
        <x:v>140*140*75 alto Madera de Rosa morada</x:v>
      </x:c>
      <x:c r="N5" s="22" t="str">
        <x:v>pieza</x:v>
      </x:c>
      <x:c r="O5" s="23" t="n">
        <x:v>17990</x:v>
      </x:c>
      <x:c r="P5" s="23" t="n">
        <x:v>19990</x:v>
      </x:c>
      <x:c r="Q5" s="17" t="str">
        <x:v>$19,990 – $17,990</x:v>
      </x:c>
      <x:c r="R5" s="22" t="str">
        <x:v>confirmado</x:v>
      </x:c>
      <x:c r="S5" s="22" t="str">
        <x:v>Sí</x:v>
      </x:c>
      <x:c r="T5" s="24"/>
      <x:c r="U5" s="17" t="str">
        <x:v>https://graph.microsoft.com/v1.0/me/drive/items/01DHXXN7YJMCJUVPBWNJEJPJIH7B4OTAUR#page=3</x:v>
      </x:c>
      <x:c r="V5" s="17" t="str">
        <x:v>https://graph.microsoft.com/v1.0/me/drive/items/01DHXXN7YJMCJUVPBWNJEJPJIH7B4OTAUR</x:v>
      </x:c>
      <x:c r="W5" s="17" t="str">
        <x:v>68e33fdd3221d49ac65c69e252887a53d6ab7b7a9f5a6294614ee66e75944925</x:v>
      </x:c>
      <x:c r="X5" s="17" t="str">
        <x:v>SKU no publicado; se conserva una identidad técnica estable.</x:v>
      </x:c>
    </x:row>
    <x:row r="6" ht="34" customHeight="1">
      <x:c r="A6" s="17" t="str">
        <x:v>IDÉLIKA</x:v>
      </x:c>
      <x:c r="B6" s="17" t="str">
        <x:v>Fabricacion</x:v>
      </x:c>
      <x:c r="C6" s="17" t="str">
        <x:v>1 CATALOGO FABRICACION 2026B.pdf</x:v>
      </x:c>
      <x:c r="D6" s="21" t="n">
        <x:v>3</x:v>
      </x:c>
      <x:c r="E6" s="17" t="str">
        <x:v>idelika:fabricacion:sin-sku:094651231b4e3b1b7d09</x:v>
      </x:c>
      <x:c r="F6" s="17"/>
      <x:c r="G6" s="22" t="str">
        <x:v>por_verificar</x:v>
      </x:c>
      <x:c r="H6" s="17" t="str">
        <x:v>Silla Kuro</x:v>
      </x:c>
      <x:c r="I6" s="17" t="str">
        <x:v>Wabi</x:v>
      </x:c>
      <x:c r="J6" s="17"/>
      <x:c r="K6" s="17" t="str">
        <x:v>Madera rosa morada, tela y rattan</x:v>
      </x:c>
      <x:c r="L6" s="17" t="str">
        <x:v>55*47*79 alto</x:v>
      </x:c>
      <x:c r="M6" s="17" t="str">
        <x:v>Madera rosa morada, tela y rattan 55*47*79 alto Wabi</x:v>
      </x:c>
      <x:c r="N6" s="22" t="str">
        <x:v>pieza</x:v>
      </x:c>
      <x:c r="O6" s="23" t="n">
        <x:v>6990</x:v>
      </x:c>
      <x:c r="P6" s="23" t="n">
        <x:v>7990</x:v>
      </x:c>
      <x:c r="Q6" s="17" t="str">
        <x:v>$7,990 – $6,990</x:v>
      </x:c>
      <x:c r="R6" s="22" t="str">
        <x:v>confirmado</x:v>
      </x:c>
      <x:c r="S6" s="22" t="str">
        <x:v>Sí</x:v>
      </x:c>
      <x:c r="T6" s="24"/>
      <x:c r="U6" s="17" t="str">
        <x:v>https://graph.microsoft.com/v1.0/me/drive/items/01DHXXN7YJMCJUVPBWNJEJPJIH7B4OTAUR#page=3</x:v>
      </x:c>
      <x:c r="V6" s="17" t="str">
        <x:v>https://graph.microsoft.com/v1.0/me/drive/items/01DHXXN7YJMCJUVPBWNJEJPJIH7B4OTAUR</x:v>
      </x:c>
      <x:c r="W6" s="17" t="str">
        <x:v>094651231b4e3b1b7d0948882bd4d042c5a93ad1d62a745f24bcd1ecaf36b546</x:v>
      </x:c>
      <x:c r="X6" s="17" t="str">
        <x:v>SKU no publicado; se conserva una identidad técnica estable.</x:v>
      </x:c>
    </x:row>
    <x:row r="7" ht="34" customHeight="1">
      <x:c r="A7" s="17" t="str">
        <x:v>IDÉLIKA</x:v>
      </x:c>
      <x:c r="B7" s="17" t="str">
        <x:v>Fabricacion</x:v>
      </x:c>
      <x:c r="C7" s="17" t="str">
        <x:v>1 CATALOGO FABRICACION 2026B.pdf</x:v>
      </x:c>
      <x:c r="D7" s="21" t="n">
        <x:v>4</x:v>
      </x:c>
      <x:c r="E7" s="17" t="str">
        <x:v>idelika:fabricacion:sin-sku:a4db58fc105ead163c27</x:v>
      </x:c>
      <x:c r="F7" s="17"/>
      <x:c r="G7" s="22" t="str">
        <x:v>por_verificar</x:v>
      </x:c>
      <x:c r="H7" s="17" t="str">
        <x:v>Morelia silla</x:v>
      </x:c>
      <x:c r="I7" s="17" t="str">
        <x:v>Morelia</x:v>
      </x:c>
      <x:c r="J7" s="17"/>
      <x:c r="K7" s="17" t="str">
        <x:v>Madera de Rosa morada Y cuerda de multifilamento</x:v>
      </x:c>
      <x:c r="L7" s="17"/>
      <x:c r="M7" s="17" t="str">
        <x:v>Madera de Rosa morada Y cuerda de multifilamento</x:v>
      </x:c>
      <x:c r="N7" s="22" t="str">
        <x:v>pieza</x:v>
      </x:c>
      <x:c r="O7" s="23" t="n">
        <x:v>5990</x:v>
      </x:c>
      <x:c r="P7" s="23" t="n">
        <x:v>6990</x:v>
      </x:c>
      <x:c r="Q7" s="17" t="str">
        <x:v>$6,990 – $5,990</x:v>
      </x:c>
      <x:c r="R7" s="22" t="str">
        <x:v>confirmado</x:v>
      </x:c>
      <x:c r="S7" s="22" t="str">
        <x:v>Sí</x:v>
      </x:c>
      <x:c r="T7" s="24"/>
      <x:c r="U7" s="17" t="str">
        <x:v>https://graph.microsoft.com/v1.0/me/drive/items/01DHXXN7YJMCJUVPBWNJEJPJIH7B4OTAUR#page=4</x:v>
      </x:c>
      <x:c r="V7" s="17" t="str">
        <x:v>https://graph.microsoft.com/v1.0/me/drive/items/01DHXXN7YJMCJUVPBWNJEJPJIH7B4OTAUR</x:v>
      </x:c>
      <x:c r="W7" s="17" t="str">
        <x:v>a4db58fc105ead163c279e3e999e3a12cd84da960826310789b8e8aa3c36857c</x:v>
      </x:c>
      <x:c r="X7" s="17" t="str">
        <x:v>SKU no publicado; se conserva una identidad técnica estable.</x:v>
      </x:c>
    </x:row>
    <x:row r="8" ht="34" customHeight="1">
      <x:c r="A8" s="17" t="str">
        <x:v>IDÉLIKA</x:v>
      </x:c>
      <x:c r="B8" s="17" t="str">
        <x:v>Fabricacion</x:v>
      </x:c>
      <x:c r="C8" s="17" t="str">
        <x:v>1 CATALOGO FABRICACION 2026B.pdf</x:v>
      </x:c>
      <x:c r="D8" s="21" t="n">
        <x:v>4</x:v>
      </x:c>
      <x:c r="E8" s="17" t="str">
        <x:v>idelika:fabricacion:sin-sku:3309f726dcf5799396ee</x:v>
      </x:c>
      <x:c r="F8" s="17"/>
      <x:c r="G8" s="22" t="str">
        <x:v>por_verificar</x:v>
      </x:c>
      <x:c r="H8" s="17" t="str">
        <x:v>Morelia Banco</x:v>
      </x:c>
      <x:c r="I8" s="17" t="str">
        <x:v>Morelia</x:v>
      </x:c>
      <x:c r="J8" s="17"/>
      <x:c r="K8" s="17" t="str">
        <x:v>Madera de Rosa morada Y cuerda de multifilamento</x:v>
      </x:c>
      <x:c r="L8" s="17"/>
      <x:c r="M8" s="17" t="str">
        <x:v>Madera de Rosa morada Y cuerda de multifilamento</x:v>
      </x:c>
      <x:c r="N8" s="22" t="str">
        <x:v>pieza</x:v>
      </x:c>
      <x:c r="O8" s="23" t="n">
        <x:v>6990</x:v>
      </x:c>
      <x:c r="P8" s="23" t="n">
        <x:v>7990</x:v>
      </x:c>
      <x:c r="Q8" s="17" t="str">
        <x:v>$7,990 – $6,990</x:v>
      </x:c>
      <x:c r="R8" s="22" t="str">
        <x:v>confirmado</x:v>
      </x:c>
      <x:c r="S8" s="22" t="str">
        <x:v>Sí</x:v>
      </x:c>
      <x:c r="T8" s="24"/>
      <x:c r="U8" s="17" t="str">
        <x:v>https://graph.microsoft.com/v1.0/me/drive/items/01DHXXN7YJMCJUVPBWNJEJPJIH7B4OTAUR#page=4</x:v>
      </x:c>
      <x:c r="V8" s="17" t="str">
        <x:v>https://graph.microsoft.com/v1.0/me/drive/items/01DHXXN7YJMCJUVPBWNJEJPJIH7B4OTAUR</x:v>
      </x:c>
      <x:c r="W8" s="17" t="str">
        <x:v>3309f726dcf5799396ee9943cac54337f0bdce37591b0e765adf8f757337bf45</x:v>
      </x:c>
      <x:c r="X8" s="17" t="str">
        <x:v>SKU no publicado; se conserva una identidad técnica estable.</x:v>
      </x:c>
    </x:row>
    <x:row r="9" ht="34" customHeight="1">
      <x:c r="A9" s="17" t="str">
        <x:v>IDÉLIKA</x:v>
      </x:c>
      <x:c r="B9" s="17" t="str">
        <x:v>Fabricacion</x:v>
      </x:c>
      <x:c r="C9" s="17" t="str">
        <x:v>1 CATALOGO FABRICACION 2026B.pdf</x:v>
      </x:c>
      <x:c r="D9" s="21" t="n">
        <x:v>4</x:v>
      </x:c>
      <x:c r="E9" s="17" t="str">
        <x:v>idelika:fabricacion:sin-sku:ad507c2b75e614703c6e</x:v>
      </x:c>
      <x:c r="F9" s="17"/>
      <x:c r="G9" s="22" t="str">
        <x:v>por_verificar</x:v>
      </x:c>
      <x:c r="H9" s="17" t="str">
        <x:v>Morelia mesa alta</x:v>
      </x:c>
      <x:c r="I9" s="17" t="str">
        <x:v>Morelia</x:v>
      </x:c>
      <x:c r="J9" s="17"/>
      <x:c r="K9" s="17" t="str">
        <x:v>Madera de Rosa morada</x:v>
      </x:c>
      <x:c r="L9" s="17" t="str">
        <x:v>90*60*110 alto</x:v>
      </x:c>
      <x:c r="M9" s="17" t="str">
        <x:v>90*60*110 alto Madera de Rosa morada</x:v>
      </x:c>
      <x:c r="N9" s="22" t="str">
        <x:v>pieza</x:v>
      </x:c>
      <x:c r="O9" s="23" t="n">
        <x:v>6990</x:v>
      </x:c>
      <x:c r="P9" s="23" t="n">
        <x:v>8790</x:v>
      </x:c>
      <x:c r="Q9" s="17" t="str">
        <x:v>$8,790 – $6,990</x:v>
      </x:c>
      <x:c r="R9" s="22" t="str">
        <x:v>confirmado</x:v>
      </x:c>
      <x:c r="S9" s="22" t="str">
        <x:v>Sí</x:v>
      </x:c>
      <x:c r="T9" s="24"/>
      <x:c r="U9" s="17" t="str">
        <x:v>https://graph.microsoft.com/v1.0/me/drive/items/01DHXXN7YJMCJUVPBWNJEJPJIH7B4OTAUR#page=4</x:v>
      </x:c>
      <x:c r="V9" s="17" t="str">
        <x:v>https://graph.microsoft.com/v1.0/me/drive/items/01DHXXN7YJMCJUVPBWNJEJPJIH7B4OTAUR</x:v>
      </x:c>
      <x:c r="W9" s="17" t="str">
        <x:v>ad507c2b75e614703c6e2803ff4f297dec69665318837834590843d18f558dc6</x:v>
      </x:c>
      <x:c r="X9" s="17" t="str">
        <x:v>SKU no publicado; se conserva una identidad técnica estable.</x:v>
      </x:c>
    </x:row>
    <x:row r="10" ht="34" customHeight="1">
      <x:c r="A10" s="17" t="str">
        <x:v>IDÉLIKA</x:v>
      </x:c>
      <x:c r="B10" s="17" t="str">
        <x:v>Fabricacion</x:v>
      </x:c>
      <x:c r="C10" s="17" t="str">
        <x:v>1 CATALOGO FABRICACION 2026B.pdf</x:v>
      </x:c>
      <x:c r="D10" s="21" t="n">
        <x:v>4</x:v>
      </x:c>
      <x:c r="E10" s="17" t="str">
        <x:v>idelika:fabricacion:sin-sku:1b3d0125a073f8110ea6</x:v>
      </x:c>
      <x:c r="F10" s="17"/>
      <x:c r="G10" s="22" t="str">
        <x:v>por_verificar</x:v>
      </x:c>
      <x:c r="H10" s="17" t="str">
        <x:v>Cosm tapete</x:v>
      </x:c>
      <x:c r="I10" s="17" t="str">
        <x:v>Morelia</x:v>
      </x:c>
      <x:c r="J10" s="17"/>
      <x:c r="K10" s="17"/>
      <x:c r="L10" s="17" t="str">
        <x:v>150 diámetro</x:v>
      </x:c>
      <x:c r="M10" s="17" t="str">
        <x:v>Fibras naturales 150 diámetro</x:v>
      </x:c>
      <x:c r="N10" s="22" t="str">
        <x:v>pieza</x:v>
      </x:c>
      <x:c r="O10" s="23" t="n">
        <x:v>3990</x:v>
      </x:c>
      <x:c r="P10" s="23" t="n">
        <x:v>4990</x:v>
      </x:c>
      <x:c r="Q10" s="17" t="str">
        <x:v>$4,990 – $3,990</x:v>
      </x:c>
      <x:c r="R10" s="22" t="str">
        <x:v>confirmado</x:v>
      </x:c>
      <x:c r="S10" s="22" t="str">
        <x:v>Sí</x:v>
      </x:c>
      <x:c r="T10" s="24"/>
      <x:c r="U10" s="17" t="str">
        <x:v>https://graph.microsoft.com/v1.0/me/drive/items/01DHXXN7YJMCJUVPBWNJEJPJIH7B4OTAUR#page=4</x:v>
      </x:c>
      <x:c r="V10" s="17" t="str">
        <x:v>https://graph.microsoft.com/v1.0/me/drive/items/01DHXXN7YJMCJUVPBWNJEJPJIH7B4OTAUR</x:v>
      </x:c>
      <x:c r="W10" s="17" t="str">
        <x:v>1b3d0125a073f8110ea6ac6c7bc971bdebdb934903141b2d6507027effa1b1e9</x:v>
      </x:c>
      <x:c r="X10" s="17" t="str">
        <x:v>SKU no publicado; se conserva una identidad técnica estable.</x:v>
      </x:c>
    </x:row>
    <x:row r="11" ht="34" customHeight="1">
      <x:c r="A11" s="17" t="str">
        <x:v>IDÉLIKA</x:v>
      </x:c>
      <x:c r="B11" s="17" t="str">
        <x:v>Fabricacion</x:v>
      </x:c>
      <x:c r="C11" s="17" t="str">
        <x:v>1 CATALOGO FABRICACION 2026B.pdf</x:v>
      </x:c>
      <x:c r="D11" s="21" t="n">
        <x:v>4</x:v>
      </x:c>
      <x:c r="E11" s="17" t="str">
        <x:v>idelika:fabricacion:sin-sku:1d356a7580a5c14b5021</x:v>
      </x:c>
      <x:c r="F11" s="17"/>
      <x:c r="G11" s="22" t="str">
        <x:v>por_verificar</x:v>
      </x:c>
      <x:c r="H11" s="17" t="str">
        <x:v>Morelia pantalla</x:v>
      </x:c>
      <x:c r="I11" s="17" t="str">
        <x:v>Morelia</x:v>
      </x:c>
      <x:c r="J11" s="17"/>
      <x:c r="K11" s="17"/>
      <x:c r="L11" s="17" t="str">
        <x:v>50 diámetro</x:v>
      </x:c>
      <x:c r="M11" s="17" t="str">
        <x:v>Fibras naturales 50 diámetro</x:v>
      </x:c>
      <x:c r="N11" s="22" t="str">
        <x:v>pieza</x:v>
      </x:c>
      <x:c r="O11" s="23" t="n">
        <x:v>3990</x:v>
      </x:c>
      <x:c r="P11" s="23" t="n">
        <x:v>4990</x:v>
      </x:c>
      <x:c r="Q11" s="17" t="str">
        <x:v>$4,990 – $3,990</x:v>
      </x:c>
      <x:c r="R11" s="22" t="str">
        <x:v>confirmado</x:v>
      </x:c>
      <x:c r="S11" s="22" t="str">
        <x:v>Sí</x:v>
      </x:c>
      <x:c r="T11" s="24"/>
      <x:c r="U11" s="17" t="str">
        <x:v>https://graph.microsoft.com/v1.0/me/drive/items/01DHXXN7YJMCJUVPBWNJEJPJIH7B4OTAUR#page=4</x:v>
      </x:c>
      <x:c r="V11" s="17" t="str">
        <x:v>https://graph.microsoft.com/v1.0/me/drive/items/01DHXXN7YJMCJUVPBWNJEJPJIH7B4OTAUR</x:v>
      </x:c>
      <x:c r="W11" s="17" t="str">
        <x:v>1d356a7580a5c14b502109306f131f88effa4f8978905165fb3d1380b3612e21</x:v>
      </x:c>
      <x:c r="X11" s="17" t="str">
        <x:v>SKU no publicado; se conserva una identidad técnica estable.</x:v>
      </x:c>
    </x:row>
    <x:row r="12" ht="34" customHeight="1">
      <x:c r="A12" s="17" t="str">
        <x:v>IDÉLIKA</x:v>
      </x:c>
      <x:c r="B12" s="17" t="str">
        <x:v>Fabricacion</x:v>
      </x:c>
      <x:c r="C12" s="17" t="str">
        <x:v>1 CATALOGO FABRICACION 2026B.pdf</x:v>
      </x:c>
      <x:c r="D12" s="21" t="n">
        <x:v>5</x:v>
      </x:c>
      <x:c r="E12" s="17" t="str">
        <x:v>idelika:fabricacion:sin-sku:5e573adb4b441293856e</x:v>
      </x:c>
      <x:c r="F12" s="17"/>
      <x:c r="G12" s="22" t="str">
        <x:v>por_verificar</x:v>
      </x:c>
      <x:c r="H12" s="17" t="str">
        <x:v>Mesa comedor Irune</x:v>
      </x:c>
      <x:c r="I12" s="17"/>
      <x:c r="J12" s="17"/>
      <x:c r="K12" s="17" t="str">
        <x:v>Madera de teka</x:v>
      </x:c>
      <x:c r="L12" s="17" t="str">
        <x:v>120*120*75 alto</x:v>
      </x:c>
      <x:c r="M12" s="17" t="str">
        <x:v>120*120*75 alto Madera de teka</x:v>
      </x:c>
      <x:c r="N12" s="22" t="str">
        <x:v>pieza</x:v>
      </x:c>
      <x:c r="O12" s="23" t="n">
        <x:v>19990</x:v>
      </x:c>
      <x:c r="P12" s="23" t="n">
        <x:v>20990</x:v>
      </x:c>
      <x:c r="Q12" s="17" t="str">
        <x:v>$20,990 – $19,990 Mesa</x:v>
      </x:c>
      <x:c r="R12" s="22" t="str">
        <x:v>confirmado</x:v>
      </x:c>
      <x:c r="S12" s="22" t="str">
        <x:v>Sí</x:v>
      </x:c>
      <x:c r="T12" s="24"/>
      <x:c r="U12" s="17" t="str">
        <x:v>https://graph.microsoft.com/v1.0/me/drive/items/01DHXXN7YJMCJUVPBWNJEJPJIH7B4OTAUR#page=5</x:v>
      </x:c>
      <x:c r="V12" s="17" t="str">
        <x:v>https://graph.microsoft.com/v1.0/me/drive/items/01DHXXN7YJMCJUVPBWNJEJPJIH7B4OTAUR</x:v>
      </x:c>
      <x:c r="W12" s="17" t="str">
        <x:v>5e573adb4b441293856edafc21e10754291b146c5a2b421cc55844db4f0d8c12</x:v>
      </x:c>
      <x:c r="X12" s="17" t="str">
        <x:v>SKU no publicado; se conserva una identidad técnica estable.</x:v>
      </x:c>
    </x:row>
    <x:row r="13" ht="34" customHeight="1">
      <x:c r="A13" s="17" t="str">
        <x:v>IDÉLIKA</x:v>
      </x:c>
      <x:c r="B13" s="17" t="str">
        <x:v>Fabricacion</x:v>
      </x:c>
      <x:c r="C13" s="17" t="str">
        <x:v>1 CATALOGO FABRICACION 2026B.pdf</x:v>
      </x:c>
      <x:c r="D13" s="21" t="n">
        <x:v>5</x:v>
      </x:c>
      <x:c r="E13" s="17" t="str">
        <x:v>idelika:fabricacion:sin-sku:e80c0b0dcd9d8b3a5184</x:v>
      </x:c>
      <x:c r="F13" s="17"/>
      <x:c r="G13" s="22" t="str">
        <x:v>por_verificar</x:v>
      </x:c>
      <x:c r="H13" s="17" t="str">
        <x:v>Silla Veracruz</x:v>
      </x:c>
      <x:c r="I13" s="17"/>
      <x:c r="J13" s="17"/>
      <x:c r="K13" s="17" t="str">
        <x:v>Madera de teka</x:v>
      </x:c>
      <x:c r="L13" s="17"/>
      <x:c r="M13" s="17" t="str">
        <x:v>120*120*75 alto Madera de teka</x:v>
      </x:c>
      <x:c r="N13" s="22" t="str">
        <x:v>pieza</x:v>
      </x:c>
      <x:c r="O13" s="23" t="n">
        <x:v>5990</x:v>
      </x:c>
      <x:c r="P13" s="23" t="n">
        <x:v>7990</x:v>
      </x:c>
      <x:c r="Q13" s="17" t="str">
        <x:v>$7,990 – $5,990 Silla</x:v>
      </x:c>
      <x:c r="R13" s="22" t="str">
        <x:v>confirmado</x:v>
      </x:c>
      <x:c r="S13" s="22" t="str">
        <x:v>Sí</x:v>
      </x:c>
      <x:c r="T13" s="24"/>
      <x:c r="U13" s="17" t="str">
        <x:v>https://graph.microsoft.com/v1.0/me/drive/items/01DHXXN7YJMCJUVPBWNJEJPJIH7B4OTAUR#page=5</x:v>
      </x:c>
      <x:c r="V13" s="17" t="str">
        <x:v>https://graph.microsoft.com/v1.0/me/drive/items/01DHXXN7YJMCJUVPBWNJEJPJIH7B4OTAUR</x:v>
      </x:c>
      <x:c r="W13" s="17" t="str">
        <x:v>e80c0b0dcd9d8b3a5184ed181237fc700f2a210793854ef2a7dad95c0b4a3da3</x:v>
      </x:c>
      <x:c r="X13" s="17" t="str">
        <x:v>SKU no publicado; se conserva una identidad técnica estable.</x:v>
      </x:c>
    </x:row>
    <x:row r="14" ht="34" customHeight="1">
      <x:c r="A14" s="17" t="str">
        <x:v>IDÉLIKA</x:v>
      </x:c>
      <x:c r="B14" s="17" t="str">
        <x:v>Fabricacion</x:v>
      </x:c>
      <x:c r="C14" s="17" t="str">
        <x:v>1 CATALOGO FABRICACION 2026B.pdf</x:v>
      </x:c>
      <x:c r="D14" s="21" t="n">
        <x:v>5</x:v>
      </x:c>
      <x:c r="E14" s="17" t="str">
        <x:v>idelika:fabricacion:sin-sku:01171abc0f73f1e058c8</x:v>
      </x:c>
      <x:c r="F14" s="17"/>
      <x:c r="G14" s="22" t="str">
        <x:v>por_verificar</x:v>
      </x:c>
      <x:c r="H14" s="17" t="str">
        <x:v>Tulum sofá cama</x:v>
      </x:c>
      <x:c r="I14" s="17"/>
      <x:c r="J14" s="17"/>
      <x:c r="K14" s="17"/>
      <x:c r="L14" s="17" t="str">
        <x:v>230*115*80</x:v>
      </x:c>
      <x:c r="M14" s="17" t="str">
        <x:v>Color a elegir 230*115*80 Precios disponibles en www.idelika.com</x:v>
      </x:c>
      <x:c r="N14" s="22" t="str">
        <x:v>pieza</x:v>
      </x:c>
      <x:c r="O14" s="23"/>
      <x:c r="P14" s="23"/>
      <x:c r="Q14" s="17" t="str">
        <x:v>Precios disponibles en www.idelika.com</x:v>
      </x:c>
      <x:c r="R14" s="22" t="str">
        <x:v>por_confirmar</x:v>
      </x:c>
      <x:c r="S14" s="22" t="str">
        <x:v>Sí</x:v>
      </x:c>
      <x:c r="T14" s="24"/>
      <x:c r="U14" s="17" t="str">
        <x:v>https://graph.microsoft.com/v1.0/me/drive/items/01DHXXN7YJMCJUVPBWNJEJPJIH7B4OTAUR#page=5</x:v>
      </x:c>
      <x:c r="V14" s="17" t="str">
        <x:v>https://graph.microsoft.com/v1.0/me/drive/items/01DHXXN7YJMCJUVPBWNJEJPJIH7B4OTAUR</x:v>
      </x:c>
      <x:c r="W14" s="17" t="str">
        <x:v>01171abc0f73f1e058c82445d7f013c885cf27a5550cf72e691dead7105cc12b</x:v>
      </x:c>
      <x:c r="X14" s="17" t="str">
        <x:v>SKU no publicado; se conserva una identidad técnica estable. Precio por confirmar.</x:v>
      </x:c>
    </x:row>
    <x:row r="15" ht="34" customHeight="1">
      <x:c r="A15" s="17" t="str">
        <x:v>IDÉLIKA</x:v>
      </x:c>
      <x:c r="B15" s="17" t="str">
        <x:v>Fabricacion</x:v>
      </x:c>
      <x:c r="C15" s="17" t="str">
        <x:v>1 CATALOGO FABRICACION 2026B.pdf</x:v>
      </x:c>
      <x:c r="D15" s="21" t="n">
        <x:v>6</x:v>
      </x:c>
      <x:c r="E15" s="17" t="str">
        <x:v>idelika:fabricacion:sin-sku:d1657d85b9c5e16b9a02</x:v>
      </x:c>
      <x:c r="F15" s="17"/>
      <x:c r="G15" s="22" t="str">
        <x:v>por_verificar</x:v>
      </x:c>
      <x:c r="H15" s="17" t="str">
        <x:v>Recámara KS Wabi</x:v>
      </x:c>
      <x:c r="I15" s="17"/>
      <x:c r="J15" s="17"/>
      <x:c r="K15" s="17" t="str">
        <x:v>Madera de Rosa morada</x:v>
      </x:c>
      <x:c r="L15" s="17"/>
      <x:c r="M15" s="17" t="str">
        <x:v>Madera de Rosa morada</x:v>
      </x:c>
      <x:c r="N15" s="22" t="str">
        <x:v>pieza</x:v>
      </x:c>
      <x:c r="O15" s="23" t="n">
        <x:v>16990</x:v>
      </x:c>
      <x:c r="P15" s="23" t="n">
        <x:v>19990</x:v>
      </x:c>
      <x:c r="Q15" s="17" t="str">
        <x:v>$19,990 – $16,990</x:v>
      </x:c>
      <x:c r="R15" s="22" t="str">
        <x:v>confirmado</x:v>
      </x:c>
      <x:c r="S15" s="22" t="str">
        <x:v>Sí</x:v>
      </x:c>
      <x:c r="T15" s="24"/>
      <x:c r="U15" s="17" t="str">
        <x:v>https://graph.microsoft.com/v1.0/me/drive/items/01DHXXN7YJMCJUVPBWNJEJPJIH7B4OTAUR#page=6</x:v>
      </x:c>
      <x:c r="V15" s="17" t="str">
        <x:v>https://graph.microsoft.com/v1.0/me/drive/items/01DHXXN7YJMCJUVPBWNJEJPJIH7B4OTAUR</x:v>
      </x:c>
      <x:c r="W15" s="17" t="str">
        <x:v>d1657d85b9c5e16b9a0214ac85994ebfe3e66cb783ad959b7cdf9c4623f129c4</x:v>
      </x:c>
      <x:c r="X15" s="17" t="str">
        <x:v>SKU no publicado; se conserva una identidad técnica estable.</x:v>
      </x:c>
    </x:row>
    <x:row r="16" ht="34" customHeight="1">
      <x:c r="A16" s="17" t="str">
        <x:v>IDÉLIKA</x:v>
      </x:c>
      <x:c r="B16" s="17" t="str">
        <x:v>Fabricacion</x:v>
      </x:c>
      <x:c r="C16" s="17" t="str">
        <x:v>1 CATALOGO FABRICACION 2026B.pdf</x:v>
      </x:c>
      <x:c r="D16" s="21" t="n">
        <x:v>6</x:v>
      </x:c>
      <x:c r="E16" s="17" t="str">
        <x:v>idelika:fabricacion:sin-sku:e9dece9dd51356c48199</x:v>
      </x:c>
      <x:c r="F16" s="17"/>
      <x:c r="G16" s="22" t="str">
        <x:v>por_verificar</x:v>
      </x:c>
      <x:c r="H16" s="17" t="str">
        <x:v>Recámara QS Wabi</x:v>
      </x:c>
      <x:c r="I16" s="17"/>
      <x:c r="J16" s="17"/>
      <x:c r="K16" s="17" t="str">
        <x:v>Madera de Rosa morada</x:v>
      </x:c>
      <x:c r="L16" s="17"/>
      <x:c r="M16" s="17" t="str">
        <x:v>Madera de Rosa morada</x:v>
      </x:c>
      <x:c r="N16" s="22" t="str">
        <x:v>pieza</x:v>
      </x:c>
      <x:c r="O16" s="23" t="n">
        <x:v>15990</x:v>
      </x:c>
      <x:c r="P16" s="23" t="n">
        <x:v>18990</x:v>
      </x:c>
      <x:c r="Q16" s="17" t="str">
        <x:v>$18,990 – $15,990</x:v>
      </x:c>
      <x:c r="R16" s="22" t="str">
        <x:v>confirmado</x:v>
      </x:c>
      <x:c r="S16" s="22" t="str">
        <x:v>Sí</x:v>
      </x:c>
      <x:c r="T16" s="24"/>
      <x:c r="U16" s="17" t="str">
        <x:v>https://graph.microsoft.com/v1.0/me/drive/items/01DHXXN7YJMCJUVPBWNJEJPJIH7B4OTAUR#page=6</x:v>
      </x:c>
      <x:c r="V16" s="17" t="str">
        <x:v>https://graph.microsoft.com/v1.0/me/drive/items/01DHXXN7YJMCJUVPBWNJEJPJIH7B4OTAUR</x:v>
      </x:c>
      <x:c r="W16" s="17" t="str">
        <x:v>e9dece9dd51356c48199a82628510ce6646e3d0958dd424fd6e9e1d3d26137ff</x:v>
      </x:c>
      <x:c r="X16" s="17" t="str">
        <x:v>SKU no publicado; se conserva una identidad técnica estable.</x:v>
      </x:c>
    </x:row>
    <x:row r="17" ht="34" customHeight="1">
      <x:c r="A17" s="17" t="str">
        <x:v>IDÉLIKA</x:v>
      </x:c>
      <x:c r="B17" s="17" t="str">
        <x:v>Fabricacion</x:v>
      </x:c>
      <x:c r="C17" s="17" t="str">
        <x:v>1 CATALOGO FABRICACION 2026B.pdf</x:v>
      </x:c>
      <x:c r="D17" s="21" t="n">
        <x:v>6</x:v>
      </x:c>
      <x:c r="E17" s="17" t="str">
        <x:v>idelika:fabricacion:sin-sku:fc7f9d2d62998d88d2bb</x:v>
      </x:c>
      <x:c r="F17" s="17"/>
      <x:c r="G17" s="22" t="str">
        <x:v>por_verificar</x:v>
      </x:c>
      <x:c r="H17" s="17" t="str">
        <x:v>Buró Wabi</x:v>
      </x:c>
      <x:c r="I17" s="17"/>
      <x:c r="J17" s="17"/>
      <x:c r="K17" s="17" t="str">
        <x:v>Madera de Rosa morada</x:v>
      </x:c>
      <x:c r="L17" s="17" t="str">
        <x:v>40*40*55 alto</x:v>
      </x:c>
      <x:c r="M17" s="17" t="str">
        <x:v>40*40*55 alto Madera de Rosa morada</x:v>
      </x:c>
      <x:c r="N17" s="22" t="str">
        <x:v>pieza</x:v>
      </x:c>
      <x:c r="O17" s="23" t="n">
        <x:v>4990</x:v>
      </x:c>
      <x:c r="P17" s="23" t="n">
        <x:v>5790</x:v>
      </x:c>
      <x:c r="Q17" s="17" t="str">
        <x:v>$5,790 – $4,990</x:v>
      </x:c>
      <x:c r="R17" s="22" t="str">
        <x:v>confirmado</x:v>
      </x:c>
      <x:c r="S17" s="22" t="str">
        <x:v>Sí</x:v>
      </x:c>
      <x:c r="T17" s="24"/>
      <x:c r="U17" s="17" t="str">
        <x:v>https://graph.microsoft.com/v1.0/me/drive/items/01DHXXN7YJMCJUVPBWNJEJPJIH7B4OTAUR#page=6</x:v>
      </x:c>
      <x:c r="V17" s="17" t="str">
        <x:v>https://graph.microsoft.com/v1.0/me/drive/items/01DHXXN7YJMCJUVPBWNJEJPJIH7B4OTAUR</x:v>
      </x:c>
      <x:c r="W17" s="17" t="str">
        <x:v>fc7f9d2d62998d88d2bbfa14eda09d7683aa7ff4d0c9965d77b65c38ecea3f36</x:v>
      </x:c>
      <x:c r="X17" s="17" t="str">
        <x:v>SKU no publicado; se conserva una identidad técnica estable.</x:v>
      </x:c>
    </x:row>
    <x:row r="18" ht="34" customHeight="1">
      <x:c r="A18" s="17" t="str">
        <x:v>IDÉLIKA</x:v>
      </x:c>
      <x:c r="B18" s="17" t="str">
        <x:v>Fabricacion</x:v>
      </x:c>
      <x:c r="C18" s="17" t="str">
        <x:v>1 CATALOGO FABRICACION 2026B.pdf</x:v>
      </x:c>
      <x:c r="D18" s="21" t="n">
        <x:v>6</x:v>
      </x:c>
      <x:c r="E18" s="17" t="str">
        <x:v>idelika:fabricacion:sin-sku:0775c3483f21003f71a1</x:v>
      </x:c>
      <x:c r="F18" s="17"/>
      <x:c r="G18" s="22" t="str">
        <x:v>por_verificar</x:v>
      </x:c>
      <x:c r="H18" s="17" t="str">
        <x:v>Colchón memory</x:v>
      </x:c>
      <x:c r="I18" s="17"/>
      <x:c r="J18" s="17" t="str">
        <x:v>KS</x:v>
      </x:c>
      <x:c r="K18" s="17"/>
      <x:c r="L18" s="17"/>
      <x:c r="M18" s="17" t="str">
        <x:v>Opción canto recto</x:v>
      </x:c>
      <x:c r="N18" s="22" t="str">
        <x:v>pieza</x:v>
      </x:c>
      <x:c r="O18" s="23" t="n">
        <x:v>14990</x:v>
      </x:c>
      <x:c r="P18" s="23" t="n">
        <x:v>16990</x:v>
      </x:c>
      <x:c r="Q18" s="17" t="str">
        <x:v>$16,990 – $14,990 KS</x:v>
      </x:c>
      <x:c r="R18" s="22" t="str">
        <x:v>confirmado</x:v>
      </x:c>
      <x:c r="S18" s="22" t="str">
        <x:v>Sí</x:v>
      </x:c>
      <x:c r="T18" s="24"/>
      <x:c r="U18" s="17" t="str">
        <x:v>https://graph.microsoft.com/v1.0/me/drive/items/01DHXXN7YJMCJUVPBWNJEJPJIH7B4OTAUR#page=6</x:v>
      </x:c>
      <x:c r="V18" s="17" t="str">
        <x:v>https://graph.microsoft.com/v1.0/me/drive/items/01DHXXN7YJMCJUVPBWNJEJPJIH7B4OTAUR</x:v>
      </x:c>
      <x:c r="W18" s="17" t="str">
        <x:v>0775c3483f21003f71a17fb3005a0a31d68c77c69948e8ff23327da52e7e3dd0</x:v>
      </x:c>
      <x:c r="X18" s="17" t="str">
        <x:v>SKU no publicado; se conserva una identidad técnica estable.</x:v>
      </x:c>
    </x:row>
    <x:row r="19" ht="34" customHeight="1">
      <x:c r="A19" s="17" t="str">
        <x:v>IDÉLIKA</x:v>
      </x:c>
      <x:c r="B19" s="17" t="str">
        <x:v>Fabricacion</x:v>
      </x:c>
      <x:c r="C19" s="17" t="str">
        <x:v>1 CATALOGO FABRICACION 2026B.pdf</x:v>
      </x:c>
      <x:c r="D19" s="21" t="n">
        <x:v>6</x:v>
      </x:c>
      <x:c r="E19" s="17" t="str">
        <x:v>idelika:fabricacion:sin-sku:ada21f817da8f30f28c2</x:v>
      </x:c>
      <x:c r="F19" s="17"/>
      <x:c r="G19" s="22" t="str">
        <x:v>por_verificar</x:v>
      </x:c>
      <x:c r="H19" s="17" t="str">
        <x:v>Colchón memory</x:v>
      </x:c>
      <x:c r="I19" s="17"/>
      <x:c r="J19" s="17" t="str">
        <x:v>QS</x:v>
      </x:c>
      <x:c r="K19" s="17"/>
      <x:c r="L19" s="17"/>
      <x:c r="M19" s="17" t="str">
        <x:v>Opción canto recto</x:v>
      </x:c>
      <x:c r="N19" s="22" t="str">
        <x:v>pieza</x:v>
      </x:c>
      <x:c r="O19" s="23" t="n">
        <x:v>11990</x:v>
      </x:c>
      <x:c r="P19" s="23" t="n">
        <x:v>13990</x:v>
      </x:c>
      <x:c r="Q19" s="17" t="str">
        <x:v>$13,990 – $11,990 QS</x:v>
      </x:c>
      <x:c r="R19" s="22" t="str">
        <x:v>confirmado</x:v>
      </x:c>
      <x:c r="S19" s="22" t="str">
        <x:v>Sí</x:v>
      </x:c>
      <x:c r="T19" s="24"/>
      <x:c r="U19" s="17" t="str">
        <x:v>https://graph.microsoft.com/v1.0/me/drive/items/01DHXXN7YJMCJUVPBWNJEJPJIH7B4OTAUR#page=6</x:v>
      </x:c>
      <x:c r="V19" s="17" t="str">
        <x:v>https://graph.microsoft.com/v1.0/me/drive/items/01DHXXN7YJMCJUVPBWNJEJPJIH7B4OTAUR</x:v>
      </x:c>
      <x:c r="W19" s="17" t="str">
        <x:v>ada21f817da8f30f28c27824a48fdd5ee06f5ab520ca9409220c2fe06ec0ed90</x:v>
      </x:c>
      <x:c r="X19" s="17" t="str">
        <x:v>SKU no publicado; se conserva una identidad técnica estable.</x:v>
      </x:c>
    </x:row>
    <x:row r="20" ht="34" customHeight="1">
      <x:c r="A20" s="17" t="str">
        <x:v>IDÉLIKA</x:v>
      </x:c>
      <x:c r="B20" s="17" t="str">
        <x:v>Fabricacion</x:v>
      </x:c>
      <x:c r="C20" s="17" t="str">
        <x:v>1 CATALOGO FABRICACION 2026B.pdf</x:v>
      </x:c>
      <x:c r="D20" s="21" t="n">
        <x:v>7</x:v>
      </x:c>
      <x:c r="E20" s="17" t="str">
        <x:v>idelika:fabricacion:sin-sku:9660c83cf31ac1b18577</x:v>
      </x:c>
      <x:c r="F20" s="17"/>
      <x:c r="G20" s="22" t="str">
        <x:v>por_verificar</x:v>
      </x:c>
      <x:c r="H20" s="17" t="str">
        <x:v>Escritorio Wabi</x:v>
      </x:c>
      <x:c r="I20" s="17"/>
      <x:c r="J20" s="17"/>
      <x:c r="K20" s="17"/>
      <x:c r="L20" s="17" t="str">
        <x:v>130*40*75</x:v>
      </x:c>
      <x:c r="M20" s="17" t="str">
        <x:v>130*40*75</x:v>
      </x:c>
      <x:c r="N20" s="22" t="str">
        <x:v>pieza</x:v>
      </x:c>
      <x:c r="O20" s="23" t="n">
        <x:v>9990</x:v>
      </x:c>
      <x:c r="P20" s="23" t="n">
        <x:v>11990</x:v>
      </x:c>
      <x:c r="Q20" s="17" t="str">
        <x:v>$11,990 – $9,990</x:v>
      </x:c>
      <x:c r="R20" s="22" t="str">
        <x:v>confirmado</x:v>
      </x:c>
      <x:c r="S20" s="22" t="str">
        <x:v>Sí</x:v>
      </x:c>
      <x:c r="T20" s="24"/>
      <x:c r="U20" s="17" t="str">
        <x:v>https://graph.microsoft.com/v1.0/me/drive/items/01DHXXN7YJMCJUVPBWNJEJPJIH7B4OTAUR#page=7</x:v>
      </x:c>
      <x:c r="V20" s="17" t="str">
        <x:v>https://graph.microsoft.com/v1.0/me/drive/items/01DHXXN7YJMCJUVPBWNJEJPJIH7B4OTAUR</x:v>
      </x:c>
      <x:c r="W20" s="17" t="str">
        <x:v>9660c83cf31ac1b18577441a049d01d895b84ad7ba7b6050013f74d1fb111d59</x:v>
      </x:c>
      <x:c r="X20" s="17" t="str">
        <x:v>SKU no publicado; se conserva una identidad técnica estable.</x:v>
      </x:c>
    </x:row>
    <x:row r="21" ht="34" customHeight="1">
      <x:c r="A21" s="17" t="str">
        <x:v>IDÉLIKA</x:v>
      </x:c>
      <x:c r="B21" s="17" t="str">
        <x:v>Fabricacion</x:v>
      </x:c>
      <x:c r="C21" s="17" t="str">
        <x:v>1 CATALOGO FABRICACION 2026B.pdf</x:v>
      </x:c>
      <x:c r="D21" s="21" t="n">
        <x:v>7</x:v>
      </x:c>
      <x:c r="E21" s="17" t="str">
        <x:v>idelika:fabricacion:sin-sku:d9ca547ae8b64104705c</x:v>
      </x:c>
      <x:c r="F21" s="17"/>
      <x:c r="G21" s="22" t="str">
        <x:v>por_verificar</x:v>
      </x:c>
      <x:c r="H21" s="17" t="str">
        <x:v>Recámara QS Wabi</x:v>
      </x:c>
      <x:c r="I21" s="17"/>
      <x:c r="J21" s="17"/>
      <x:c r="K21" s="17"/>
      <x:c r="L21" s="17" t="str">
        <x:v>180*50*50</x:v>
      </x:c>
      <x:c r="M21" s="17" t="str">
        <x:v>180*50*50</x:v>
      </x:c>
      <x:c r="N21" s="22" t="str">
        <x:v>pieza</x:v>
      </x:c>
      <x:c r="O21" s="23" t="n">
        <x:v>9990</x:v>
      </x:c>
      <x:c r="P21" s="23" t="n">
        <x:v>11990</x:v>
      </x:c>
      <x:c r="Q21" s="17" t="str">
        <x:v>$11,990 – $9,990</x:v>
      </x:c>
      <x:c r="R21" s="22" t="str">
        <x:v>confirmado</x:v>
      </x:c>
      <x:c r="S21" s="22" t="str">
        <x:v>Sí</x:v>
      </x:c>
      <x:c r="T21" s="24"/>
      <x:c r="U21" s="17" t="str">
        <x:v>https://graph.microsoft.com/v1.0/me/drive/items/01DHXXN7YJMCJUVPBWNJEJPJIH7B4OTAUR#page=7</x:v>
      </x:c>
      <x:c r="V21" s="17" t="str">
        <x:v>https://graph.microsoft.com/v1.0/me/drive/items/01DHXXN7YJMCJUVPBWNJEJPJIH7B4OTAUR</x:v>
      </x:c>
      <x:c r="W21" s="17" t="str">
        <x:v>d9ca547ae8b64104705c6d83f1064d2f2c76509bfe3ced17fb5a74250eaf99b5</x:v>
      </x:c>
      <x:c r="X21" s="17" t="str">
        <x:v>SKU no publicado; se conserva una identidad técnica estable.</x:v>
      </x:c>
    </x:row>
    <x:row r="22" ht="34" customHeight="1">
      <x:c r="A22" s="17" t="str">
        <x:v>IDÉLIKA</x:v>
      </x:c>
      <x:c r="B22" s="17" t="str">
        <x:v>Fabricacion</x:v>
      </x:c>
      <x:c r="C22" s="17" t="str">
        <x:v>1 CATALOGO FABRICACION 2026B.pdf</x:v>
      </x:c>
      <x:c r="D22" s="21" t="n">
        <x:v>7</x:v>
      </x:c>
      <x:c r="E22" s="17" t="str">
        <x:v>idelika:fabricacion:sin-sku:a1804bad27356bb5dec4</x:v>
      </x:c>
      <x:c r="F22" s="17"/>
      <x:c r="G22" s="22" t="str">
        <x:v>por_verificar</x:v>
      </x:c>
      <x:c r="H22" s="17" t="str">
        <x:v>Banca o mesa centro</x:v>
      </x:c>
      <x:c r="I22" s="17"/>
      <x:c r="J22" s="17"/>
      <x:c r="K22" s="17" t="str">
        <x:v>Fabricación acero</x:v>
      </x:c>
      <x:c r="L22" s="17" t="str">
        <x:v>100*40*30 alto</x:v>
      </x:c>
      <x:c r="M22" s="17" t="str">
        <x:v>100*40*30 alto Espejo Wabi 130*45</x:v>
      </x:c>
      <x:c r="N22" s="22" t="str">
        <x:v>pieza</x:v>
      </x:c>
      <x:c r="O22" s="23" t="n">
        <x:v>7990</x:v>
      </x:c>
      <x:c r="P22" s="23" t="n">
        <x:v>9790</x:v>
      </x:c>
      <x:c r="Q22" s="17" t="str">
        <x:v>$9,790 – $7,990</x:v>
      </x:c>
      <x:c r="R22" s="22" t="str">
        <x:v>confirmado</x:v>
      </x:c>
      <x:c r="S22" s="22" t="str">
        <x:v>Sí</x:v>
      </x:c>
      <x:c r="T22" s="24"/>
      <x:c r="U22" s="17" t="str">
        <x:v>https://graph.microsoft.com/v1.0/me/drive/items/01DHXXN7YJMCJUVPBWNJEJPJIH7B4OTAUR#page=7</x:v>
      </x:c>
      <x:c r="V22" s="17" t="str">
        <x:v>https://graph.microsoft.com/v1.0/me/drive/items/01DHXXN7YJMCJUVPBWNJEJPJIH7B4OTAUR</x:v>
      </x:c>
      <x:c r="W22" s="17" t="str">
        <x:v>a1804bad27356bb5dec47dbdf40c496f79fecebf23261e526440d871eaa4e107</x:v>
      </x:c>
      <x:c r="X22" s="17" t="str">
        <x:v>SKU no publicado; se conserva una identidad técnica estable.</x:v>
      </x:c>
    </x:row>
    <x:row r="23" ht="34" customHeight="1">
      <x:c r="A23" s="17" t="str">
        <x:v>IDÉLIKA</x:v>
      </x:c>
      <x:c r="B23" s="17" t="str">
        <x:v>Fabricacion</x:v>
      </x:c>
      <x:c r="C23" s="17" t="str">
        <x:v>1 CATALOGO FABRICACION 2026B.pdf</x:v>
      </x:c>
      <x:c r="D23" s="21" t="n">
        <x:v>7</x:v>
      </x:c>
      <x:c r="E23" s="17" t="str">
        <x:v>idelika:fabricacion:sin-sku:b854d83f18aa8077a828</x:v>
      </x:c>
      <x:c r="F23" s="17"/>
      <x:c r="G23" s="22" t="str">
        <x:v>por_verificar</x:v>
      </x:c>
      <x:c r="H23" s="17" t="str">
        <x:v>Banca o mesa centro</x:v>
      </x:c>
      <x:c r="I23" s="17"/>
      <x:c r="J23" s="17"/>
      <x:c r="K23" s="17" t="str">
        <x:v>Fabricación acero</x:v>
      </x:c>
      <x:c r="L23" s="17" t="str">
        <x:v>130*45</x:v>
      </x:c>
      <x:c r="M23" s="17" t="str">
        <x:v>100*40*30 alto Espejo Wabi 130*45</x:v>
      </x:c>
      <x:c r="N23" s="22" t="str">
        <x:v>pieza</x:v>
      </x:c>
      <x:c r="O23" s="23" t="n">
        <x:v>7990</x:v>
      </x:c>
      <x:c r="P23" s="23" t="n">
        <x:v>9790</x:v>
      </x:c>
      <x:c r="Q23" s="17" t="str">
        <x:v>$9,790 – $7,990</x:v>
      </x:c>
      <x:c r="R23" s="22" t="str">
        <x:v>confirmado</x:v>
      </x:c>
      <x:c r="S23" s="22" t="str">
        <x:v>Sí</x:v>
      </x:c>
      <x:c r="T23" s="24"/>
      <x:c r="U23" s="17" t="str">
        <x:v>https://graph.microsoft.com/v1.0/me/drive/items/01DHXXN7YJMCJUVPBWNJEJPJIH7B4OTAUR#page=7</x:v>
      </x:c>
      <x:c r="V23" s="17" t="str">
        <x:v>https://graph.microsoft.com/v1.0/me/drive/items/01DHXXN7YJMCJUVPBWNJEJPJIH7B4OTAUR</x:v>
      </x:c>
      <x:c r="W23" s="17" t="str">
        <x:v>b854d83f18aa8077a82883c8ecded05cad68c2cebe9e1f43c511eefe9801d500</x:v>
      </x:c>
      <x:c r="X23" s="17" t="str">
        <x:v>SKU no publicado; se conserva una identidad técnica estable.</x:v>
      </x:c>
    </x:row>
    <x:row r="24" ht="34" customHeight="1">
      <x:c r="A24" s="17" t="str">
        <x:v>IDÉLIKA</x:v>
      </x:c>
      <x:c r="B24" s="17" t="str">
        <x:v>Fabricacion</x:v>
      </x:c>
      <x:c r="C24" s="17" t="str">
        <x:v>1 CATALOGO FABRICACION 2026B.pdf</x:v>
      </x:c>
      <x:c r="D24" s="21" t="n">
        <x:v>8</x:v>
      </x:c>
      <x:c r="E24" s="17" t="str">
        <x:v>idelika:fabricacion:sin-sku:3a7afd14d419135c9c96</x:v>
      </x:c>
      <x:c r="F24" s="17"/>
      <x:c r="G24" s="22" t="str">
        <x:v>por_verificar</x:v>
      </x:c>
      <x:c r="H24" s="17" t="str">
        <x:v>Emma seccional</x:v>
      </x:c>
      <x:c r="I24" s="17"/>
      <x:c r="J24" s="17"/>
      <x:c r="K24" s="17" t="str">
        <x:v>Madera y tela Acero y tela</x:v>
      </x:c>
      <x:c r="L24" s="17" t="str">
        <x:v>186*290*84 alto.</x:v>
      </x:c>
      <x:c r="M24" s="17" t="str">
        <x:v>186*290*84 alto. Madera y tela Ashton sofacama 95*190*95 alto Acero y tela</x:v>
      </x:c>
      <x:c r="N24" s="22" t="str">
        <x:v>pieza</x:v>
      </x:c>
      <x:c r="O24" s="23" t="n">
        <x:v>29990</x:v>
      </x:c>
      <x:c r="P24" s="23" t="n">
        <x:v>39990</x:v>
      </x:c>
      <x:c r="Q24" s="17" t="str">
        <x:v>$39,990 – $29,990</x:v>
      </x:c>
      <x:c r="R24" s="22" t="str">
        <x:v>confirmado</x:v>
      </x:c>
      <x:c r="S24" s="22" t="str">
        <x:v>Sí</x:v>
      </x:c>
      <x:c r="T24" s="24"/>
      <x:c r="U24" s="17" t="str">
        <x:v>https://graph.microsoft.com/v1.0/me/drive/items/01DHXXN7YJMCJUVPBWNJEJPJIH7B4OTAUR#page=8</x:v>
      </x:c>
      <x:c r="V24" s="17" t="str">
        <x:v>https://graph.microsoft.com/v1.0/me/drive/items/01DHXXN7YJMCJUVPBWNJEJPJIH7B4OTAUR</x:v>
      </x:c>
      <x:c r="W24" s="17" t="str">
        <x:v>3a7afd14d419135c9c968ed33f87bfc552b0da7e76c7b93b47cc5b2d3761aa14</x:v>
      </x:c>
      <x:c r="X24" s="17" t="str">
        <x:v>SKU no publicado; se conserva una identidad técnica estable.</x:v>
      </x:c>
    </x:row>
    <x:row r="25" ht="34" customHeight="1">
      <x:c r="A25" s="17" t="str">
        <x:v>IDÉLIKA</x:v>
      </x:c>
      <x:c r="B25" s="17" t="str">
        <x:v>Fabricacion</x:v>
      </x:c>
      <x:c r="C25" s="17" t="str">
        <x:v>1 CATALOGO FABRICACION 2026B.pdf</x:v>
      </x:c>
      <x:c r="D25" s="21" t="n">
        <x:v>8</x:v>
      </x:c>
      <x:c r="E25" s="17" t="str">
        <x:v>idelika:fabricacion:sin-sku:d54df609aadc816ac3a8</x:v>
      </x:c>
      <x:c r="F25" s="17"/>
      <x:c r="G25" s="22" t="str">
        <x:v>por_verificar</x:v>
      </x:c>
      <x:c r="H25" s="17" t="str">
        <x:v>Emma seccional</x:v>
      </x:c>
      <x:c r="I25" s="17"/>
      <x:c r="J25" s="17"/>
      <x:c r="K25" s="17" t="str">
        <x:v>Madera y tela Acero y tela</x:v>
      </x:c>
      <x:c r="L25" s="17" t="str">
        <x:v>95*190*95 alto</x:v>
      </x:c>
      <x:c r="M25" s="17" t="str">
        <x:v>186*290*84 alto. Madera y tela Ashton sofacama 95*190*95 alto Acero y tela</x:v>
      </x:c>
      <x:c r="N25" s="22" t="str">
        <x:v>pieza</x:v>
      </x:c>
      <x:c r="O25" s="23" t="n">
        <x:v>8990</x:v>
      </x:c>
      <x:c r="P25" s="23" t="n">
        <x:v>9990</x:v>
      </x:c>
      <x:c r="Q25" s="17" t="str">
        <x:v>$9,990 – $8,990</x:v>
      </x:c>
      <x:c r="R25" s="22" t="str">
        <x:v>confirmado</x:v>
      </x:c>
      <x:c r="S25" s="22" t="str">
        <x:v>Sí</x:v>
      </x:c>
      <x:c r="T25" s="24"/>
      <x:c r="U25" s="17" t="str">
        <x:v>https://graph.microsoft.com/v1.0/me/drive/items/01DHXXN7YJMCJUVPBWNJEJPJIH7B4OTAUR#page=8</x:v>
      </x:c>
      <x:c r="V25" s="17" t="str">
        <x:v>https://graph.microsoft.com/v1.0/me/drive/items/01DHXXN7YJMCJUVPBWNJEJPJIH7B4OTAUR</x:v>
      </x:c>
      <x:c r="W25" s="17" t="str">
        <x:v>d54df609aadc816ac3a804bc92f651c9b0ffb897e5e825a6abbed7b08aeaf5bf</x:v>
      </x:c>
      <x:c r="X25" s="17" t="str">
        <x:v>SKU no publicado; se conserva una identidad técnica estable.</x:v>
      </x:c>
    </x:row>
    <x:row r="26" ht="34" customHeight="1">
      <x:c r="A26" s="17" t="str">
        <x:v>IDÉLIKA</x:v>
      </x:c>
      <x:c r="B26" s="17" t="str">
        <x:v>Fabricacion</x:v>
      </x:c>
      <x:c r="C26" s="17" t="str">
        <x:v>1 CATALOGO FABRICACION 2026B.pdf</x:v>
      </x:c>
      <x:c r="D26" s="21" t="n">
        <x:v>9</x:v>
      </x:c>
      <x:c r="E26" s="17" t="str">
        <x:v>idelika:fabricacion:sin-sku:932613ba0d8596493233</x:v>
      </x:c>
      <x:c r="F26" s="17"/>
      <x:c r="G26" s="22" t="str">
        <x:v>por_verificar</x:v>
      </x:c>
      <x:c r="H26" s="17" t="str">
        <x:v>Zicatela silla</x:v>
      </x:c>
      <x:c r="I26" s="17" t="str">
        <x:v>Corazón de México</x:v>
      </x:c>
      <x:c r="J26" s="17"/>
      <x:c r="K26" s="17" t="str">
        <x:v>Parota y cuerda de polipropileno</x:v>
      </x:c>
      <x:c r="L26" s="17" t="str">
        <x:v>60*52*82</x:v>
      </x:c>
      <x:c r="M26" s="17" t="str">
        <x:v>Parota y cuerda De multifilamento de polipropileno Uso exterior techado 60*52*82 Hecha con el corazón y con las manos de nuestros artesanos, de México para el mundo.</x:v>
      </x:c>
      <x:c r="N26" s="22" t="str">
        <x:v>pieza</x:v>
      </x:c>
      <x:c r="O26" s="23" t="n">
        <x:v>4999</x:v>
      </x:c>
      <x:c r="P26" s="23" t="n">
        <x:v>5499</x:v>
      </x:c>
      <x:c r="Q26" s="17" t="str">
        <x:v>$5,499 – $4,999</x:v>
      </x:c>
      <x:c r="R26" s="22" t="str">
        <x:v>confirmado</x:v>
      </x:c>
      <x:c r="S26" s="22" t="str">
        <x:v>Sí</x:v>
      </x:c>
      <x:c r="T26" s="24"/>
      <x:c r="U26" s="17" t="str">
        <x:v>https://graph.microsoft.com/v1.0/me/drive/items/01DHXXN7YJMCJUVPBWNJEJPJIH7B4OTAUR#page=9</x:v>
      </x:c>
      <x:c r="V26" s="17" t="str">
        <x:v>https://graph.microsoft.com/v1.0/me/drive/items/01DHXXN7YJMCJUVPBWNJEJPJIH7B4OTAUR</x:v>
      </x:c>
      <x:c r="W26" s="17" t="str">
        <x:v>932613ba0d8596493233688c7872a1a77f825b8a1f6d7394a1fa4726eaa15eff</x:v>
      </x:c>
      <x:c r="X26" s="17" t="str">
        <x:v>SKU no publicado; se conserva una identidad técnica estable.</x:v>
      </x:c>
    </x:row>
    <x:row r="27" ht="34" customHeight="1">
      <x:c r="A27" s="17" t="str">
        <x:v>IDÉLIKA</x:v>
      </x:c>
      <x:c r="B27" s="17" t="str">
        <x:v>Fabricacion</x:v>
      </x:c>
      <x:c r="C27" s="17" t="str">
        <x:v>1 CATALOGO FABRICACION 2026B.pdf</x:v>
      </x:c>
      <x:c r="D27" s="21" t="n">
        <x:v>10</x:v>
      </x:c>
      <x:c r="E27" s="17" t="str">
        <x:v>idelika:fabricacion:sin-sku:9d9b5f1131621cf2b85a</x:v>
      </x:c>
      <x:c r="F27" s="17"/>
      <x:c r="G27" s="22" t="str">
        <x:v>por_verificar</x:v>
      </x:c>
      <x:c r="H27" s="17" t="str">
        <x:v>Colección Pichilinge exterior 100%</x:v>
      </x:c>
      <x:c r="I27" s="17" t="str">
        <x:v>Pichilinge exterior 100%</x:v>
      </x:c>
      <x:c r="J27" s="17" t="str">
        <x:v>Sillón</x:v>
      </x:c>
      <x:c r="K27" s="17" t="str">
        <x:v>Madera de rosa morada, palma sintética y loneta náutica</x:v>
      </x:c>
      <x:c r="L27" s="17" t="str">
        <x:v>100*60*32 mesa</x:v>
      </x:c>
      <x:c r="M27" s="17" t="str">
        <x:v>200*70*65 sofá 150*70*65 love 74*70*65 sillón 100*60*32 mesa Madera de rosa morada, palma sintética y loneta náutica</x:v>
      </x:c>
      <x:c r="N27" s="22" t="str">
        <x:v>pieza</x:v>
      </x:c>
      <x:c r="O27" s="23" t="n">
        <x:v>11990</x:v>
      </x:c>
      <x:c r="P27" s="23" t="n">
        <x:v>12990</x:v>
      </x:c>
      <x:c r="Q27" s="17" t="str">
        <x:v>$12,990 – $11,990 Sillón</x:v>
      </x:c>
      <x:c r="R27" s="22" t="str">
        <x:v>confirmado</x:v>
      </x:c>
      <x:c r="S27" s="22" t="str">
        <x:v>Sí</x:v>
      </x:c>
      <x:c r="T27" s="24"/>
      <x:c r="U27" s="17" t="str">
        <x:v>https://graph.microsoft.com/v1.0/me/drive/items/01DHXXN7YJMCJUVPBWNJEJPJIH7B4OTAUR#page=10</x:v>
      </x:c>
      <x:c r="V27" s="17" t="str">
        <x:v>https://graph.microsoft.com/v1.0/me/drive/items/01DHXXN7YJMCJUVPBWNJEJPJIH7B4OTAUR</x:v>
      </x:c>
      <x:c r="W27" s="17" t="str">
        <x:v>9d9b5f1131621cf2b85ad7d828cbbc766b557492b6f503f730349fb8a327aa85</x:v>
      </x:c>
      <x:c r="X27" s="17" t="str">
        <x:v>SKU no publicado; se conserva una identidad técnica estable.</x:v>
      </x:c>
    </x:row>
    <x:row r="28" ht="34" customHeight="1">
      <x:c r="A28" s="17" t="str">
        <x:v>IDÉLIKA</x:v>
      </x:c>
      <x:c r="B28" s="17" t="str">
        <x:v>Fabricacion</x:v>
      </x:c>
      <x:c r="C28" s="17" t="str">
        <x:v>1 CATALOGO FABRICACION 2026B.pdf</x:v>
      </x:c>
      <x:c r="D28" s="21" t="n">
        <x:v>10</x:v>
      </x:c>
      <x:c r="E28" s="17" t="str">
        <x:v>idelika:fabricacion:sin-sku:489c9512cdb69d4fc22b</x:v>
      </x:c>
      <x:c r="F28" s="17"/>
      <x:c r="G28" s="22" t="str">
        <x:v>por_verificar</x:v>
      </x:c>
      <x:c r="H28" s="17" t="str">
        <x:v>Colección Pichilinge exterior 100%</x:v>
      </x:c>
      <x:c r="I28" s="17" t="str">
        <x:v>Pichilinge exterior 100%</x:v>
      </x:c>
      <x:c r="J28" s="17" t="str">
        <x:v>Love</x:v>
      </x:c>
      <x:c r="K28" s="17" t="str">
        <x:v>Madera de rosa morada, palma sintética y loneta náutica</x:v>
      </x:c>
      <x:c r="L28" s="17"/>
      <x:c r="M28" s="17" t="str">
        <x:v>200*70*65 sofá 150*70*65 love 74*70*65 sillón 100*60*32 mesa Madera de rosa morada, palma sintética y loneta náutica</x:v>
      </x:c>
      <x:c r="N28" s="22" t="str">
        <x:v>pieza</x:v>
      </x:c>
      <x:c r="O28" s="23" t="n">
        <x:v>17990</x:v>
      </x:c>
      <x:c r="P28" s="23" t="n">
        <x:v>19990</x:v>
      </x:c>
      <x:c r="Q28" s="17" t="str">
        <x:v>$19,990 – $17,990 Love</x:v>
      </x:c>
      <x:c r="R28" s="22" t="str">
        <x:v>confirmado</x:v>
      </x:c>
      <x:c r="S28" s="22" t="str">
        <x:v>Sí</x:v>
      </x:c>
      <x:c r="T28" s="24"/>
      <x:c r="U28" s="17" t="str">
        <x:v>https://graph.microsoft.com/v1.0/me/drive/items/01DHXXN7YJMCJUVPBWNJEJPJIH7B4OTAUR#page=10</x:v>
      </x:c>
      <x:c r="V28" s="17" t="str">
        <x:v>https://graph.microsoft.com/v1.0/me/drive/items/01DHXXN7YJMCJUVPBWNJEJPJIH7B4OTAUR</x:v>
      </x:c>
      <x:c r="W28" s="17" t="str">
        <x:v>489c9512cdb69d4fc22b8b73dac52d70331a9d5ab8c039e37fd1ab096596a234</x:v>
      </x:c>
      <x:c r="X28" s="17" t="str">
        <x:v>SKU no publicado; se conserva una identidad técnica estable.</x:v>
      </x:c>
    </x:row>
    <x:row r="29" ht="34" customHeight="1">
      <x:c r="A29" s="17" t="str">
        <x:v>IDÉLIKA</x:v>
      </x:c>
      <x:c r="B29" s="17" t="str">
        <x:v>Fabricacion</x:v>
      </x:c>
      <x:c r="C29" s="17" t="str">
        <x:v>1 CATALOGO FABRICACION 2026B.pdf</x:v>
      </x:c>
      <x:c r="D29" s="21" t="n">
        <x:v>10</x:v>
      </x:c>
      <x:c r="E29" s="17" t="str">
        <x:v>idelika:fabricacion:sin-sku:6c8254a2d5ea3816c4a6</x:v>
      </x:c>
      <x:c r="F29" s="17"/>
      <x:c r="G29" s="22" t="str">
        <x:v>por_verificar</x:v>
      </x:c>
      <x:c r="H29" s="17" t="str">
        <x:v>Colección Pichilinge exterior 100%</x:v>
      </x:c>
      <x:c r="I29" s="17" t="str">
        <x:v>Pichilinge exterior 100%</x:v>
      </x:c>
      <x:c r="J29" s="17" t="str">
        <x:v>Sofá</x:v>
      </x:c>
      <x:c r="K29" s="17" t="str">
        <x:v>Madera de rosa morada, palma sintética y loneta náutica</x:v>
      </x:c>
      <x:c r="L29" s="17"/>
      <x:c r="M29" s="17" t="str">
        <x:v>200*70*65 sofá 150*70*65 love 74*70*65 sillón 100*60*32 mesa Madera de rosa morada, palma sintética y loneta náutica</x:v>
      </x:c>
      <x:c r="N29" s="22" t="str">
        <x:v>pieza</x:v>
      </x:c>
      <x:c r="O29" s="23" t="n">
        <x:v>19990</x:v>
      </x:c>
      <x:c r="P29" s="23" t="n">
        <x:v>22990</x:v>
      </x:c>
      <x:c r="Q29" s="17" t="str">
        <x:v>$22,990 – $19,990 Sofá</x:v>
      </x:c>
      <x:c r="R29" s="22" t="str">
        <x:v>confirmado</x:v>
      </x:c>
      <x:c r="S29" s="22" t="str">
        <x:v>Sí</x:v>
      </x:c>
      <x:c r="T29" s="24"/>
      <x:c r="U29" s="17" t="str">
        <x:v>https://graph.microsoft.com/v1.0/me/drive/items/01DHXXN7YJMCJUVPBWNJEJPJIH7B4OTAUR#page=10</x:v>
      </x:c>
      <x:c r="V29" s="17" t="str">
        <x:v>https://graph.microsoft.com/v1.0/me/drive/items/01DHXXN7YJMCJUVPBWNJEJPJIH7B4OTAUR</x:v>
      </x:c>
      <x:c r="W29" s="17" t="str">
        <x:v>6c8254a2d5ea3816c4a689e2104783a34ed4691fa0bd0b21604075e7aa4d7948</x:v>
      </x:c>
      <x:c r="X29" s="17" t="str">
        <x:v>SKU no publicado; se conserva una identidad técnica estable.</x:v>
      </x:c>
    </x:row>
    <x:row r="30" ht="34" customHeight="1">
      <x:c r="A30" s="17" t="str">
        <x:v>IDÉLIKA</x:v>
      </x:c>
      <x:c r="B30" s="17" t="str">
        <x:v>Fabricacion</x:v>
      </x:c>
      <x:c r="C30" s="17" t="str">
        <x:v>1 CATALOGO FABRICACION 2026B.pdf</x:v>
      </x:c>
      <x:c r="D30" s="21" t="n">
        <x:v>10</x:v>
      </x:c>
      <x:c r="E30" s="17" t="str">
        <x:v>idelika:fabricacion:sin-sku:03b76b54d7aab72da3ed</x:v>
      </x:c>
      <x:c r="F30" s="17"/>
      <x:c r="G30" s="22" t="str">
        <x:v>por_verificar</x:v>
      </x:c>
      <x:c r="H30" s="17" t="str">
        <x:v>Colección Pichilinge exterior 100%</x:v>
      </x:c>
      <x:c r="I30" s="17" t="str">
        <x:v>Pichilinge exterior 100%</x:v>
      </x:c>
      <x:c r="J30" s="17" t="str">
        <x:v>mesa</x:v>
      </x:c>
      <x:c r="K30" s="17" t="str">
        <x:v>Madera de rosa morada, palma sintética y loneta náutica</x:v>
      </x:c>
      <x:c r="L30" s="17"/>
      <x:c r="M30" s="17" t="str">
        <x:v>200*70*65 sofá 150*70*65 love 74*70*65 sillón 100*60*32 mesa Madera de rosa morada, palma sintética y loneta náutica</x:v>
      </x:c>
      <x:c r="N30" s="22" t="str">
        <x:v>pieza</x:v>
      </x:c>
      <x:c r="O30" s="23" t="n">
        <x:v>8990</x:v>
      </x:c>
      <x:c r="P30" s="23" t="n">
        <x:v>10990</x:v>
      </x:c>
      <x:c r="Q30" s="17" t="str">
        <x:v>$10,990 – $8,990 mesa</x:v>
      </x:c>
      <x:c r="R30" s="22" t="str">
        <x:v>confirmado</x:v>
      </x:c>
      <x:c r="S30" s="22" t="str">
        <x:v>Sí</x:v>
      </x:c>
      <x:c r="T30" s="24"/>
      <x:c r="U30" s="17" t="str">
        <x:v>https://graph.microsoft.com/v1.0/me/drive/items/01DHXXN7YJMCJUVPBWNJEJPJIH7B4OTAUR#page=10</x:v>
      </x:c>
      <x:c r="V30" s="17" t="str">
        <x:v>https://graph.microsoft.com/v1.0/me/drive/items/01DHXXN7YJMCJUVPBWNJEJPJIH7B4OTAUR</x:v>
      </x:c>
      <x:c r="W30" s="17" t="str">
        <x:v>03b76b54d7aab72da3ed72aa533e26703f2ecda1e1c3945865f7f647f7d62e11</x:v>
      </x:c>
      <x:c r="X30" s="17" t="str">
        <x:v>SKU no publicado; se conserva una identidad técnica estable.</x:v>
      </x:c>
    </x:row>
    <x:row r="31" ht="34" customHeight="1">
      <x:c r="A31" s="17" t="str">
        <x:v>IDÉLIKA</x:v>
      </x:c>
      <x:c r="B31" s="17" t="str">
        <x:v>Fabricacion</x:v>
      </x:c>
      <x:c r="C31" s="17" t="str">
        <x:v>1 CATALOGO FABRICACION 2026B.pdf</x:v>
      </x:c>
      <x:c r="D31" s="21" t="n">
        <x:v>10</x:v>
      </x:c>
      <x:c r="E31" s="17" t="str">
        <x:v>idelika:fabricacion:sin-sku:4669aa5a7b7151383078</x:v>
      </x:c>
      <x:c r="F31" s="17"/>
      <x:c r="G31" s="22" t="str">
        <x:v>por_verificar</x:v>
      </x:c>
      <x:c r="H31" s="17" t="str">
        <x:v>Silla Pichilingue</x:v>
      </x:c>
      <x:c r="I31" s="17" t="str">
        <x:v>Pichilinge exterior 100%</x:v>
      </x:c>
      <x:c r="J31" s="17"/>
      <x:c r="K31" s="17" t="str">
        <x:v>Madera de rosa morada, palma sintética y loneta náutica</x:v>
      </x:c>
      <x:c r="L31" s="17" t="str">
        <x:v>50*47*79 alto</x:v>
      </x:c>
      <x:c r="M31" s="17" t="str">
        <x:v>Madera de rosa morada, palma sintética y loneta náutica 50*47*79 alto</x:v>
      </x:c>
      <x:c r="N31" s="22" t="str">
        <x:v>pieza</x:v>
      </x:c>
      <x:c r="O31" s="23" t="n">
        <x:v>5990</x:v>
      </x:c>
      <x:c r="P31" s="23" t="n">
        <x:v>6990</x:v>
      </x:c>
      <x:c r="Q31" s="17" t="str">
        <x:v>$6,990 – $5,990</x:v>
      </x:c>
      <x:c r="R31" s="22" t="str">
        <x:v>confirmado</x:v>
      </x:c>
      <x:c r="S31" s="22" t="str">
        <x:v>Sí</x:v>
      </x:c>
      <x:c r="T31" s="24"/>
      <x:c r="U31" s="17" t="str">
        <x:v>https://graph.microsoft.com/v1.0/me/drive/items/01DHXXN7YJMCJUVPBWNJEJPJIH7B4OTAUR#page=10</x:v>
      </x:c>
      <x:c r="V31" s="17" t="str">
        <x:v>https://graph.microsoft.com/v1.0/me/drive/items/01DHXXN7YJMCJUVPBWNJEJPJIH7B4OTAUR</x:v>
      </x:c>
      <x:c r="W31" s="17" t="str">
        <x:v>4669aa5a7b7151383078b390aeba3f30867a4edfb0e1cf495c859b4144fd6bc8</x:v>
      </x:c>
      <x:c r="X31" s="17" t="str">
        <x:v>SKU no publicado; se conserva una identidad técnica estable.</x:v>
      </x:c>
    </x:row>
    <x:row r="32" ht="34" customHeight="1">
      <x:c r="A32" s="17" t="str">
        <x:v>IDÉLIKA</x:v>
      </x:c>
      <x:c r="B32" s="17" t="str">
        <x:v>Fabricacion</x:v>
      </x:c>
      <x:c r="C32" s="17" t="str">
        <x:v>1 CATALOGO FABRICACION 2026B.pdf</x:v>
      </x:c>
      <x:c r="D32" s="21" t="n">
        <x:v>10</x:v>
      </x:c>
      <x:c r="E32" s="17" t="str">
        <x:v>idelika:fabricacion:sin-sku:651ad5555f47a25b8096</x:v>
      </x:c>
      <x:c r="F32" s="17"/>
      <x:c r="G32" s="22" t="str">
        <x:v>por_verificar</x:v>
      </x:c>
      <x:c r="H32" s="17" t="str">
        <x:v>Banco Pichilingue</x:v>
      </x:c>
      <x:c r="I32" s="17" t="str">
        <x:v>Pichilinge exterior 100%</x:v>
      </x:c>
      <x:c r="J32" s="17"/>
      <x:c r="K32" s="17" t="str">
        <x:v>Madera de rosa morada, palma sintética y loneta náutica</x:v>
      </x:c>
      <x:c r="L32" s="17" t="str">
        <x:v>50*47*105 alto</x:v>
      </x:c>
      <x:c r="M32" s="17" t="str">
        <x:v>Madera de rosa morada, palma sintética y loneta náutica 50*47*105 alto</x:v>
      </x:c>
      <x:c r="N32" s="22" t="str">
        <x:v>pieza</x:v>
      </x:c>
      <x:c r="O32" s="23" t="n">
        <x:v>6990</x:v>
      </x:c>
      <x:c r="P32" s="23" t="n">
        <x:v>7990</x:v>
      </x:c>
      <x:c r="Q32" s="17" t="str">
        <x:v>$7,990 – $6,990</x:v>
      </x:c>
      <x:c r="R32" s="22" t="str">
        <x:v>confirmado</x:v>
      </x:c>
      <x:c r="S32" s="22" t="str">
        <x:v>Sí</x:v>
      </x:c>
      <x:c r="T32" s="24"/>
      <x:c r="U32" s="17" t="str">
        <x:v>https://graph.microsoft.com/v1.0/me/drive/items/01DHXXN7YJMCJUVPBWNJEJPJIH7B4OTAUR#page=10</x:v>
      </x:c>
      <x:c r="V32" s="17" t="str">
        <x:v>https://graph.microsoft.com/v1.0/me/drive/items/01DHXXN7YJMCJUVPBWNJEJPJIH7B4OTAUR</x:v>
      </x:c>
      <x:c r="W32" s="17" t="str">
        <x:v>651ad5555f47a25b809688a70dab26ad3ce4b8723566d04d574c484e1f6561f3</x:v>
      </x:c>
      <x:c r="X32" s="17" t="str">
        <x:v>SKU no publicado; se conserva una identidad técnica estable.</x:v>
      </x:c>
    </x:row>
    <x:row r="33" ht="34" customHeight="1">
      <x:c r="A33" s="17" t="str">
        <x:v>IDÉLIKA</x:v>
      </x:c>
      <x:c r="B33" s="17" t="str">
        <x:v>Fabricacion</x:v>
      </x:c>
      <x:c r="C33" s="17" t="str">
        <x:v>1 CATALOGO FABRICACION 2026B.pdf</x:v>
      </x:c>
      <x:c r="D33" s="21" t="n">
        <x:v>10</x:v>
      </x:c>
      <x:c r="E33" s="17" t="str">
        <x:v>idelika:fabricacion:sin-sku:7083ac89f1ae3b68ff31</x:v>
      </x:c>
      <x:c r="F33" s="17"/>
      <x:c r="G33" s="22" t="str">
        <x:v>por_verificar</x:v>
      </x:c>
      <x:c r="H33" s="17" t="str">
        <x:v>Camastro Pichilingue</x:v>
      </x:c>
      <x:c r="I33" s="17" t="str">
        <x:v>Pichilinge exterior 100%</x:v>
      </x:c>
      <x:c r="J33" s="17"/>
      <x:c r="K33" s="17" t="str">
        <x:v>Madera de rosa morada, palma sintética y loneta náutica</x:v>
      </x:c>
      <x:c r="L33" s="17" t="str">
        <x:v>180*70*70 alto</x:v>
      </x:c>
      <x:c r="M33" s="17" t="str">
        <x:v>Madera de rosa morada, palma sintética y loneta náutica 180*70*70 alto</x:v>
      </x:c>
      <x:c r="N33" s="22" t="str">
        <x:v>pieza</x:v>
      </x:c>
      <x:c r="O33" s="23" t="n">
        <x:v>13990</x:v>
      </x:c>
      <x:c r="P33" s="23" t="n">
        <x:v>14990</x:v>
      </x:c>
      <x:c r="Q33" s="17" t="str">
        <x:v>$14,990 – $13,990</x:v>
      </x:c>
      <x:c r="R33" s="22" t="str">
        <x:v>confirmado</x:v>
      </x:c>
      <x:c r="S33" s="22" t="str">
        <x:v>Sí</x:v>
      </x:c>
      <x:c r="T33" s="24"/>
      <x:c r="U33" s="17" t="str">
        <x:v>https://graph.microsoft.com/v1.0/me/drive/items/01DHXXN7YJMCJUVPBWNJEJPJIH7B4OTAUR#page=10</x:v>
      </x:c>
      <x:c r="V33" s="17" t="str">
        <x:v>https://graph.microsoft.com/v1.0/me/drive/items/01DHXXN7YJMCJUVPBWNJEJPJIH7B4OTAUR</x:v>
      </x:c>
      <x:c r="W33" s="17" t="str">
        <x:v>7083ac89f1ae3b68ff311b17bf7fd85031a5a53b2b30d79b70148709b3395267</x:v>
      </x:c>
      <x:c r="X33" s="17" t="str">
        <x:v>SKU no publicado; se conserva una identidad técnica estable.</x:v>
      </x:c>
    </x:row>
    <x:row r="34" ht="34" customHeight="1">
      <x:c r="A34" s="17" t="str">
        <x:v>IDÉLIKA</x:v>
      </x:c>
      <x:c r="B34" s="17" t="str">
        <x:v>Fabricacion</x:v>
      </x:c>
      <x:c r="C34" s="17" t="str">
        <x:v>1 CATALOGO FABRICACION 2026B.pdf</x:v>
      </x:c>
      <x:c r="D34" s="21" t="n">
        <x:v>11</x:v>
      </x:c>
      <x:c r="E34" s="17" t="str">
        <x:v>idelika:fabricacion:sin-sku:5844a76ac78451a2883d</x:v>
      </x:c>
      <x:c r="F34" s="17"/>
      <x:c r="G34" s="22" t="str">
        <x:v>por_verificar</x:v>
      </x:c>
      <x:c r="H34" s="17" t="str">
        <x:v>Nam silla</x:v>
      </x:c>
      <x:c r="I34" s="17"/>
      <x:c r="J34" s="17"/>
      <x:c r="K34" s="17" t="str">
        <x:v>Acero con pintura electroestática</x:v>
      </x:c>
      <x:c r="L34" s="17" t="str">
        <x:v>Fabricación 56*56*77</x:v>
      </x:c>
      <x:c r="M34" s="17" t="str">
        <x:v>Acero con pintura electroestática</x:v>
      </x:c>
      <x:c r="N34" s="22" t="str">
        <x:v>pieza</x:v>
      </x:c>
      <x:c r="O34" s="23" t="n">
        <x:v>4990</x:v>
      </x:c>
      <x:c r="P34" s="23" t="n">
        <x:v>5199</x:v>
      </x:c>
      <x:c r="Q34" s="17" t="str">
        <x:v>$5,199 – $4,990</x:v>
      </x:c>
      <x:c r="R34" s="22" t="str">
        <x:v>confirmado</x:v>
      </x:c>
      <x:c r="S34" s="22" t="str">
        <x:v>Sí</x:v>
      </x:c>
      <x:c r="T34" s="24"/>
      <x:c r="U34" s="17" t="str">
        <x:v>https://graph.microsoft.com/v1.0/me/drive/items/01DHXXN7YJMCJUVPBWNJEJPJIH7B4OTAUR#page=11</x:v>
      </x:c>
      <x:c r="V34" s="17" t="str">
        <x:v>https://graph.microsoft.com/v1.0/me/drive/items/01DHXXN7YJMCJUVPBWNJEJPJIH7B4OTAUR</x:v>
      </x:c>
      <x:c r="W34" s="17" t="str">
        <x:v>5844a76ac78451a2883d4292df56b13a78df9ea30f8a8c73e3096bade4346c98</x:v>
      </x:c>
      <x:c r="X34" s="17" t="str">
        <x:v>SKU no publicado; se conserva una identidad técnica estable.</x:v>
      </x:c>
    </x:row>
    <x:row r="35" ht="34" customHeight="1">
      <x:c r="A35" s="17" t="str">
        <x:v>IDÉLIKA</x:v>
      </x:c>
      <x:c r="B35" s="17" t="str">
        <x:v>Fabricacion</x:v>
      </x:c>
      <x:c r="C35" s="17" t="str">
        <x:v>1 CATALOGO FABRICACION 2026B.pdf</x:v>
      </x:c>
      <x:c r="D35" s="21" t="n">
        <x:v>11</x:v>
      </x:c>
      <x:c r="E35" s="17" t="str">
        <x:v>idelika:fabricacion:sin-sku:dc0f9c80bd3267dd5c53</x:v>
      </x:c>
      <x:c r="F35" s="17"/>
      <x:c r="G35" s="22" t="str">
        <x:v>por_verificar</x:v>
      </x:c>
      <x:c r="H35" s="17" t="str">
        <x:v>Akumal sillón</x:v>
      </x:c>
      <x:c r="I35" s="17"/>
      <x:c r="J35" s="17"/>
      <x:c r="K35" s="17" t="str">
        <x:v>Madera de parota, cuerda y cojín poliester</x:v>
      </x:c>
      <x:c r="L35" s="17" t="str">
        <x:v>Fabricación 62*56*74</x:v>
      </x:c>
      <x:c r="M35" s="17" t="str">
        <x:v>Madera de parota, cuerda y cojín poliester</x:v>
      </x:c>
      <x:c r="N35" s="22" t="str">
        <x:v>pieza</x:v>
      </x:c>
      <x:c r="O35" s="23" t="n">
        <x:v>7990</x:v>
      </x:c>
      <x:c r="P35" s="23" t="n">
        <x:v>9199</x:v>
      </x:c>
      <x:c r="Q35" s="17" t="str">
        <x:v>$9,199 – $7,990</x:v>
      </x:c>
      <x:c r="R35" s="22" t="str">
        <x:v>confirmado</x:v>
      </x:c>
      <x:c r="S35" s="22" t="str">
        <x:v>Sí</x:v>
      </x:c>
      <x:c r="T35" s="24"/>
      <x:c r="U35" s="17" t="str">
        <x:v>https://graph.microsoft.com/v1.0/me/drive/items/01DHXXN7YJMCJUVPBWNJEJPJIH7B4OTAUR#page=11</x:v>
      </x:c>
      <x:c r="V35" s="17" t="str">
        <x:v>https://graph.microsoft.com/v1.0/me/drive/items/01DHXXN7YJMCJUVPBWNJEJPJIH7B4OTAUR</x:v>
      </x:c>
      <x:c r="W35" s="17" t="str">
        <x:v>dc0f9c80bd3267dd5c53f79fac66b6640e87dbf630fbc61ae945e13c19c4a6dd</x:v>
      </x:c>
      <x:c r="X35" s="17" t="str">
        <x:v>SKU no publicado; se conserva una identidad técnica estable.</x:v>
      </x:c>
    </x:row>
    <x:row r="36" ht="34" customHeight="1">
      <x:c r="A36" s="17" t="str">
        <x:v>IDÉLIKA</x:v>
      </x:c>
      <x:c r="B36" s="17" t="str">
        <x:v>Fabricacion</x:v>
      </x:c>
      <x:c r="C36" s="17" t="str">
        <x:v>1 CATALOGO FABRICACION 2026B.pdf</x:v>
      </x:c>
      <x:c r="D36" s="21" t="n">
        <x:v>13</x:v>
      </x:c>
      <x:c r="E36" s="17" t="str">
        <x:v>idelika:fabricacion:sin-sku:18e2e2accc59c5b8b948</x:v>
      </x:c>
      <x:c r="F36" s="17"/>
      <x:c r="G36" s="22" t="str">
        <x:v>por_verificar</x:v>
      </x:c>
      <x:c r="H36" s="17" t="str">
        <x:v>Jalisco silla</x:v>
      </x:c>
      <x:c r="I36" s="17"/>
      <x:c r="J36" s="17" t="str">
        <x:v>aluminio 100%</x:v>
      </x:c>
      <x:c r="K36" s="17"/>
      <x:c r="L36" s="17" t="str">
        <x:v>69*59*79</x:v>
      </x:c>
      <x:c r="M36" s="17" t="str">
        <x:v>69*59*79 exterior Cojines se venden por separado</x:v>
      </x:c>
      <x:c r="N36" s="22" t="str">
        <x:v>pieza</x:v>
      </x:c>
      <x:c r="O36" s="23" t="n">
        <x:v>3999</x:v>
      </x:c>
      <x:c r="P36" s="23" t="n">
        <x:v>4799</x:v>
      </x:c>
      <x:c r="Q36" s="17" t="str">
        <x:v>$4,799 – $3,999 aluminio 100%</x:v>
      </x:c>
      <x:c r="R36" s="22" t="str">
        <x:v>confirmado</x:v>
      </x:c>
      <x:c r="S36" s="22" t="str">
        <x:v>Sí</x:v>
      </x:c>
      <x:c r="T36" s="24"/>
      <x:c r="U36" s="17" t="str">
        <x:v>https://graph.microsoft.com/v1.0/me/drive/items/01DHXXN7YJMCJUVPBWNJEJPJIH7B4OTAUR#page=13</x:v>
      </x:c>
      <x:c r="V36" s="17" t="str">
        <x:v>https://graph.microsoft.com/v1.0/me/drive/items/01DHXXN7YJMCJUVPBWNJEJPJIH7B4OTAUR</x:v>
      </x:c>
      <x:c r="W36" s="17" t="str">
        <x:v>18e2e2accc59c5b8b948cbcdb1af0a8d5b6a8cb3a8b32eb2383e1ff4772c63e1</x:v>
      </x:c>
      <x:c r="X36" s="17" t="str">
        <x:v>SKU no publicado; se conserva una identidad técnica estable.</x:v>
      </x:c>
    </x:row>
    <x:row r="37" ht="34" customHeight="1">
      <x:c r="A37" s="17" t="str">
        <x:v>IDÉLIKA</x:v>
      </x:c>
      <x:c r="B37" s="17" t="str">
        <x:v>Fabricacion</x:v>
      </x:c>
      <x:c r="C37" s="17" t="str">
        <x:v>1 CATALOGO FABRICACION 2026B.pdf</x:v>
      </x:c>
      <x:c r="D37" s="21" t="n">
        <x:v>13</x:v>
      </x:c>
      <x:c r="E37" s="17" t="str">
        <x:v>idelika:fabricacion:sin-sku:213e4a8d8ec4a6f39369</x:v>
      </x:c>
      <x:c r="F37" s="17"/>
      <x:c r="G37" s="22" t="str">
        <x:v>por_verificar</x:v>
      </x:c>
      <x:c r="H37" s="17" t="str">
        <x:v>Jalisco silla</x:v>
      </x:c>
      <x:c r="I37" s="17"/>
      <x:c r="J37" s="17" t="str">
        <x:v>exterior techado</x:v>
      </x:c>
      <x:c r="K37" s="17"/>
      <x:c r="L37" s="17"/>
      <x:c r="M37" s="17" t="str">
        <x:v>69*59*79 exterior Cojines se venden por separado</x:v>
      </x:c>
      <x:c r="N37" s="22" t="str">
        <x:v>pieza</x:v>
      </x:c>
      <x:c r="O37" s="23" t="n">
        <x:v>2699</x:v>
      </x:c>
      <x:c r="P37" s="23" t="n">
        <x:v>3199</x:v>
      </x:c>
      <x:c r="Q37" s="17" t="str">
        <x:v>$3,199 – $2,699 exterior techado</x:v>
      </x:c>
      <x:c r="R37" s="22" t="str">
        <x:v>confirmado</x:v>
      </x:c>
      <x:c r="S37" s="22" t="str">
        <x:v>Sí</x:v>
      </x:c>
      <x:c r="T37" s="24"/>
      <x:c r="U37" s="17" t="str">
        <x:v>https://graph.microsoft.com/v1.0/me/drive/items/01DHXXN7YJMCJUVPBWNJEJPJIH7B4OTAUR#page=13</x:v>
      </x:c>
      <x:c r="V37" s="17" t="str">
        <x:v>https://graph.microsoft.com/v1.0/me/drive/items/01DHXXN7YJMCJUVPBWNJEJPJIH7B4OTAUR</x:v>
      </x:c>
      <x:c r="W37" s="17" t="str">
        <x:v>213e4a8d8ec4a6f39369ca5bedecb0e9d8a9d32809e2f0e5283d6b5019805c15</x:v>
      </x:c>
      <x:c r="X37" s="17" t="str">
        <x:v>SKU no publicado; se conserva una identidad técnica estable.</x:v>
      </x:c>
    </x:row>
    <x:row r="38" ht="34" customHeight="1">
      <x:c r="A38" s="17" t="str">
        <x:v>IDÉLIKA</x:v>
      </x:c>
      <x:c r="B38" s="17" t="str">
        <x:v>Fabricacion</x:v>
      </x:c>
      <x:c r="C38" s="17" t="str">
        <x:v>1 CATALOGO FABRICACION 2026B.pdf</x:v>
      </x:c>
      <x:c r="D38" s="21" t="n">
        <x:v>14</x:v>
      </x:c>
      <x:c r="E38" s="17" t="str">
        <x:v>idelika:fabricacion:sin-sku:0c4f316ebec856e5a035</x:v>
      </x:c>
      <x:c r="F38" s="17"/>
      <x:c r="G38" s="22" t="str">
        <x:v>por_verificar</x:v>
      </x:c>
      <x:c r="H38" s="17" t="str">
        <x:v>Tepoztlán silla</x:v>
      </x:c>
      <x:c r="I38" s="17" t="str">
        <x:v>Tepoztlán</x:v>
      </x:c>
      <x:c r="J38" s="17" t="str">
        <x:v>% exterior</x:v>
      </x:c>
      <x:c r="K38" s="17" t="str">
        <x:v>Acero con pintura electroestática Cuerda (incluye cojín)</x:v>
      </x:c>
      <x:c r="L38" s="17" t="str">
        <x:v>Fabricación 69*59*79</x:v>
      </x:c>
      <x:c r="M38" s="17" t="str">
        <x:v>Acero con pintura electroestática Cuerda (incluye cojín)</x:v>
      </x:c>
      <x:c r="N38" s="22" t="str">
        <x:v>pieza</x:v>
      </x:c>
      <x:c r="O38" s="23" t="n">
        <x:v>4199</x:v>
      </x:c>
      <x:c r="P38" s="23" t="n">
        <x:v>3699100</x:v>
      </x:c>
      <x:c r="Q38" s="17" t="str">
        <x:v>$4,199 – $3,699 100% exterior</x:v>
      </x:c>
      <x:c r="R38" s="22" t="str">
        <x:v>confirmado</x:v>
      </x:c>
      <x:c r="S38" s="22" t="str">
        <x:v>Sí</x:v>
      </x:c>
      <x:c r="T38" s="24"/>
      <x:c r="U38" s="17" t="str">
        <x:v>https://graph.microsoft.com/v1.0/me/drive/items/01DHXXN7YJMCJUVPBWNJEJPJIH7B4OTAUR#page=14</x:v>
      </x:c>
      <x:c r="V38" s="17" t="str">
        <x:v>https://graph.microsoft.com/v1.0/me/drive/items/01DHXXN7YJMCJUVPBWNJEJPJIH7B4OTAUR</x:v>
      </x:c>
      <x:c r="W38" s="17" t="str">
        <x:v>0c4f316ebec856e5a035d1cb6dc3ac8c1988cde3decffdee5765f377559b973d</x:v>
      </x:c>
      <x:c r="X38" s="17" t="str">
        <x:v>SKU no publicado; se conserva una identidad técnica estable.</x:v>
      </x:c>
    </x:row>
    <x:row r="39" ht="34" customHeight="1">
      <x:c r="A39" s="17" t="str">
        <x:v>IDÉLIKA</x:v>
      </x:c>
      <x:c r="B39" s="17" t="str">
        <x:v>Fabricacion</x:v>
      </x:c>
      <x:c r="C39" s="17" t="str">
        <x:v>1 CATALOGO FABRICACION 2026B.pdf</x:v>
      </x:c>
      <x:c r="D39" s="21" t="n">
        <x:v>14</x:v>
      </x:c>
      <x:c r="E39" s="17" t="str">
        <x:v>idelika:fabricacion:sin-sku:3ea58bfff3516492c4c5</x:v>
      </x:c>
      <x:c r="F39" s="17"/>
      <x:c r="G39" s="22" t="str">
        <x:v>por_verificar</x:v>
      </x:c>
      <x:c r="H39" s="17" t="str">
        <x:v>Tepoztlán silla</x:v>
      </x:c>
      <x:c r="I39" s="17" t="str">
        <x:v>Tepoztlán</x:v>
      </x:c>
      <x:c r="J39" s="17" t="str">
        <x:v>exterior techado</x:v>
      </x:c>
      <x:c r="K39" s="17" t="str">
        <x:v>Acero con pintura electroestática Cuerda (incluye cojín)</x:v>
      </x:c>
      <x:c r="L39" s="17"/>
      <x:c r="M39" s="17" t="str">
        <x:v>Acero con pintura electroestática Cuerda (incluye cojín)</x:v>
      </x:c>
      <x:c r="N39" s="22" t="str">
        <x:v>pieza</x:v>
      </x:c>
      <x:c r="O39" s="23" t="n">
        <x:v>2999</x:v>
      </x:c>
      <x:c r="P39" s="23" t="n">
        <x:v>3199</x:v>
      </x:c>
      <x:c r="Q39" s="17" t="str">
        <x:v>$3,199 – $2,999 exterior techado</x:v>
      </x:c>
      <x:c r="R39" s="22" t="str">
        <x:v>confirmado</x:v>
      </x:c>
      <x:c r="S39" s="22" t="str">
        <x:v>Sí</x:v>
      </x:c>
      <x:c r="T39" s="24"/>
      <x:c r="U39" s="17" t="str">
        <x:v>https://graph.microsoft.com/v1.0/me/drive/items/01DHXXN7YJMCJUVPBWNJEJPJIH7B4OTAUR#page=14</x:v>
      </x:c>
      <x:c r="V39" s="17" t="str">
        <x:v>https://graph.microsoft.com/v1.0/me/drive/items/01DHXXN7YJMCJUVPBWNJEJPJIH7B4OTAUR</x:v>
      </x:c>
      <x:c r="W39" s="17" t="str">
        <x:v>3ea58bfff3516492c4c59c24e199b0425d592c5250be327997af30f8bb43d8c3</x:v>
      </x:c>
      <x:c r="X39" s="17" t="str">
        <x:v>SKU no publicado; se conserva una identidad técnica estable.</x:v>
      </x:c>
    </x:row>
    <x:row r="40" ht="34" customHeight="1">
      <x:c r="A40" s="17" t="str">
        <x:v>IDÉLIKA</x:v>
      </x:c>
      <x:c r="B40" s="17" t="str">
        <x:v>Fabricacion</x:v>
      </x:c>
      <x:c r="C40" s="17" t="str">
        <x:v>1 CATALOGO FABRICACION 2026B.pdf</x:v>
      </x:c>
      <x:c r="D40" s="21" t="n">
        <x:v>14</x:v>
      </x:c>
      <x:c r="E40" s="17" t="str">
        <x:v>idelika:fabricacion:sin-sku:eec3f931c149584b328f</x:v>
      </x:c>
      <x:c r="F40" s="17"/>
      <x:c r="G40" s="22" t="str">
        <x:v>por_verificar</x:v>
      </x:c>
      <x:c r="H40" s="17" t="str">
        <x:v>Tepoztlán banco</x:v>
      </x:c>
      <x:c r="I40" s="17" t="str">
        <x:v>Tepoztlán</x:v>
      </x:c>
      <x:c r="J40" s="17" t="str">
        <x:v>% exterior</x:v>
      </x:c>
      <x:c r="K40" s="17" t="str">
        <x:v>Acero con pintura electroestática Cuerda (incluye cojín)</x:v>
      </x:c>
      <x:c r="L40" s="17" t="str">
        <x:v>58*61*100/73 alto</x:v>
      </x:c>
      <x:c r="M40" s="17" t="str">
        <x:v>58*61*93/63 counter 58*61*100/73 alto Acero con pintura electroestática Cuerda (incluye cojín)</x:v>
      </x:c>
      <x:c r="N40" s="22" t="str">
        <x:v>pieza</x:v>
      </x:c>
      <x:c r="O40" s="23" t="n">
        <x:v>4199</x:v>
      </x:c>
      <x:c r="P40" s="23" t="n">
        <x:v>3799100</x:v>
      </x:c>
      <x:c r="Q40" s="17" t="str">
        <x:v>$4,199 – $3,799 100% exterior</x:v>
      </x:c>
      <x:c r="R40" s="22" t="str">
        <x:v>confirmado</x:v>
      </x:c>
      <x:c r="S40" s="22" t="str">
        <x:v>Sí</x:v>
      </x:c>
      <x:c r="T40" s="24"/>
      <x:c r="U40" s="17" t="str">
        <x:v>https://graph.microsoft.com/v1.0/me/drive/items/01DHXXN7YJMCJUVPBWNJEJPJIH7B4OTAUR#page=14</x:v>
      </x:c>
      <x:c r="V40" s="17" t="str">
        <x:v>https://graph.microsoft.com/v1.0/me/drive/items/01DHXXN7YJMCJUVPBWNJEJPJIH7B4OTAUR</x:v>
      </x:c>
      <x:c r="W40" s="17" t="str">
        <x:v>eec3f931c149584b328fd77471153878c3a08d4206b3bb846250ac5c8569695b</x:v>
      </x:c>
      <x:c r="X40" s="17" t="str">
        <x:v>SKU no publicado; se conserva una identidad técnica estable.</x:v>
      </x:c>
    </x:row>
    <x:row r="41" ht="34" customHeight="1">
      <x:c r="A41" s="17" t="str">
        <x:v>IDÉLIKA</x:v>
      </x:c>
      <x:c r="B41" s="17" t="str">
        <x:v>Fabricacion</x:v>
      </x:c>
      <x:c r="C41" s="17" t="str">
        <x:v>1 CATALOGO FABRICACION 2026B.pdf</x:v>
      </x:c>
      <x:c r="D41" s="21" t="n">
        <x:v>14</x:v>
      </x:c>
      <x:c r="E41" s="17" t="str">
        <x:v>idelika:fabricacion:sin-sku:de9e5bcad2d3acf71b6e</x:v>
      </x:c>
      <x:c r="F41" s="17"/>
      <x:c r="G41" s="22" t="str">
        <x:v>por_verificar</x:v>
      </x:c>
      <x:c r="H41" s="17" t="str">
        <x:v>Tepoztlán banco</x:v>
      </x:c>
      <x:c r="I41" s="17" t="str">
        <x:v>Tepoztlán</x:v>
      </x:c>
      <x:c r="J41" s="17" t="str">
        <x:v>exterior techado</x:v>
      </x:c>
      <x:c r="K41" s="17" t="str">
        <x:v>Acero con pintura electroestática Cuerda (incluye cojín)</x:v>
      </x:c>
      <x:c r="L41" s="17"/>
      <x:c r="M41" s="17" t="str">
        <x:v>58*61*93/63 counter 58*61*100/73 alto Acero con pintura electroestática Cuerda (incluye cojín)</x:v>
      </x:c>
      <x:c r="N41" s="22" t="str">
        <x:v>pieza</x:v>
      </x:c>
      <x:c r="O41" s="23" t="n">
        <x:v>3199</x:v>
      </x:c>
      <x:c r="P41" s="23" t="n">
        <x:v>3199</x:v>
      </x:c>
      <x:c r="Q41" s="17" t="str">
        <x:v>$3,199 – $3,199 exterior techado</x:v>
      </x:c>
      <x:c r="R41" s="22" t="str">
        <x:v>confirmado</x:v>
      </x:c>
      <x:c r="S41" s="22" t="str">
        <x:v>Sí</x:v>
      </x:c>
      <x:c r="T41" s="24"/>
      <x:c r="U41" s="17" t="str">
        <x:v>https://graph.microsoft.com/v1.0/me/drive/items/01DHXXN7YJMCJUVPBWNJEJPJIH7B4OTAUR#page=14</x:v>
      </x:c>
      <x:c r="V41" s="17" t="str">
        <x:v>https://graph.microsoft.com/v1.0/me/drive/items/01DHXXN7YJMCJUVPBWNJEJPJIH7B4OTAUR</x:v>
      </x:c>
      <x:c r="W41" s="17" t="str">
        <x:v>de9e5bcad2d3acf71b6e821bae628b10b7d3d014c3abed760d6dc6f83d0db01d</x:v>
      </x:c>
      <x:c r="X41" s="17" t="str">
        <x:v>SKU no publicado; se conserva una identidad técnica estable.</x:v>
      </x:c>
    </x:row>
    <x:row r="42" ht="34" customHeight="1">
      <x:c r="A42" s="17" t="str">
        <x:v>IDÉLIKA</x:v>
      </x:c>
      <x:c r="B42" s="17" t="str">
        <x:v>Fabricacion</x:v>
      </x:c>
      <x:c r="C42" s="17" t="str">
        <x:v>1 CATALOGO FABRICACION 2026B.pdf</x:v>
      </x:c>
      <x:c r="D42" s="21" t="n">
        <x:v>15</x:v>
      </x:c>
      <x:c r="E42" s="17" t="str">
        <x:v>idelika:fabricacion:sin-sku:c3e41e49f37e388466fe</x:v>
      </x:c>
      <x:c r="F42" s="17"/>
      <x:c r="G42" s="22" t="str">
        <x:v>por_verificar</x:v>
      </x:c>
      <x:c r="H42" s="17" t="str">
        <x:v>Tequila banco</x:v>
      </x:c>
      <x:c r="I42" s="17" t="str">
        <x:v>Tequila</x:v>
      </x:c>
      <x:c r="J42" s="17" t="str">
        <x:v>exterior techado</x:v>
      </x:c>
      <x:c r="K42" s="17" t="str">
        <x:v>Acero con pintura electroestática cuerda de multifilamento Acero galvanizado y cuerda textilene</x:v>
      </x:c>
      <x:c r="L42" s="17" t="str">
        <x:v>Fabricación 49*50*82/92</x:v>
      </x:c>
      <x:c r="M42" s="17" t="str">
        <x:v>Acero con pintura electroestática cuerda de multifilamento Acero galvanizado y cuerda textilene Cojinería se vende por separado.</x:v>
      </x:c>
      <x:c r="N42" s="22" t="str">
        <x:v>pieza</x:v>
      </x:c>
      <x:c r="O42" s="23" t="n">
        <x:v>2599</x:v>
      </x:c>
      <x:c r="P42" s="23" t="n">
        <x:v>2799</x:v>
      </x:c>
      <x:c r="Q42" s="17" t="str">
        <x:v>$2,799 – $2,599 exterior techado</x:v>
      </x:c>
      <x:c r="R42" s="22" t="str">
        <x:v>confirmado</x:v>
      </x:c>
      <x:c r="S42" s="22" t="str">
        <x:v>Sí</x:v>
      </x:c>
      <x:c r="T42" s="24"/>
      <x:c r="U42" s="17" t="str">
        <x:v>https://graph.microsoft.com/v1.0/me/drive/items/01DHXXN7YJMCJUVPBWNJEJPJIH7B4OTAUR#page=15</x:v>
      </x:c>
      <x:c r="V42" s="17" t="str">
        <x:v>https://graph.microsoft.com/v1.0/me/drive/items/01DHXXN7YJMCJUVPBWNJEJPJIH7B4OTAUR</x:v>
      </x:c>
      <x:c r="W42" s="17" t="str">
        <x:v>c3e41e49f37e388466feeb5ffdf1154843f7a68751d24f2b881989ee3fad0e71</x:v>
      </x:c>
      <x:c r="X42" s="17" t="str">
        <x:v>SKU no publicado; se conserva una identidad técnica estable.</x:v>
      </x:c>
    </x:row>
    <x:row r="43" ht="34" customHeight="1">
      <x:c r="A43" s="17" t="str">
        <x:v>IDÉLIKA</x:v>
      </x:c>
      <x:c r="B43" s="17" t="str">
        <x:v>Fabricacion</x:v>
      </x:c>
      <x:c r="C43" s="17" t="str">
        <x:v>1 CATALOGO FABRICACION 2026B.pdf</x:v>
      </x:c>
      <x:c r="D43" s="21" t="n">
        <x:v>15</x:v>
      </x:c>
      <x:c r="E43" s="17" t="str">
        <x:v>idelika:fabricacion:sin-sku:33f1edc7fa99ee139a8f</x:v>
      </x:c>
      <x:c r="F43" s="17"/>
      <x:c r="G43" s="22" t="str">
        <x:v>por_verificar</x:v>
      </x:c>
      <x:c r="H43" s="17" t="str">
        <x:v>Tequila banco</x:v>
      </x:c>
      <x:c r="I43" s="17" t="str">
        <x:v>Tequila</x:v>
      </x:c>
      <x:c r="J43" s="17" t="str">
        <x:v>exterior 100%</x:v>
      </x:c>
      <x:c r="K43" s="17" t="str">
        <x:v>Acero con pintura electroestática cuerda de multifilamento Acero galvanizado y cuerda textilene</x:v>
      </x:c>
      <x:c r="L43" s="17"/>
      <x:c r="M43" s="17" t="str">
        <x:v>Acero con pintura electroestática cuerda de multifilamento Acero galvanizado y cuerda textilene Cojinería se vende por separado.</x:v>
      </x:c>
      <x:c r="N43" s="22" t="str">
        <x:v>pieza</x:v>
      </x:c>
      <x:c r="O43" s="23" t="n">
        <x:v>3199</x:v>
      </x:c>
      <x:c r="P43" s="23" t="n">
        <x:v>3499</x:v>
      </x:c>
      <x:c r="Q43" s="17" t="str">
        <x:v>$3,499 – $3,199 exterior 100%</x:v>
      </x:c>
      <x:c r="R43" s="22" t="str">
        <x:v>confirmado</x:v>
      </x:c>
      <x:c r="S43" s="22" t="str">
        <x:v>Sí</x:v>
      </x:c>
      <x:c r="T43" s="24"/>
      <x:c r="U43" s="17" t="str">
        <x:v>https://graph.microsoft.com/v1.0/me/drive/items/01DHXXN7YJMCJUVPBWNJEJPJIH7B4OTAUR#page=15</x:v>
      </x:c>
      <x:c r="V43" s="17" t="str">
        <x:v>https://graph.microsoft.com/v1.0/me/drive/items/01DHXXN7YJMCJUVPBWNJEJPJIH7B4OTAUR</x:v>
      </x:c>
      <x:c r="W43" s="17" t="str">
        <x:v>33f1edc7fa99ee139a8f20c175b1ad0c5e8fc1d8728b75f916fde7c4fc32c508</x:v>
      </x:c>
      <x:c r="X43" s="17" t="str">
        <x:v>SKU no publicado; se conserva una identidad técnica estable.</x:v>
      </x:c>
    </x:row>
    <x:row r="44" ht="34" customHeight="1">
      <x:c r="A44" s="17" t="str">
        <x:v>IDÉLIKA</x:v>
      </x:c>
      <x:c r="B44" s="17" t="str">
        <x:v>Fabricacion</x:v>
      </x:c>
      <x:c r="C44" s="17" t="str">
        <x:v>1 CATALOGO FABRICACION 2026B.pdf</x:v>
      </x:c>
      <x:c r="D44" s="21" t="n">
        <x:v>15</x:v>
      </x:c>
      <x:c r="E44" s="17" t="str">
        <x:v>idelika:fabricacion:sin-sku:38afccf394cf94683338</x:v>
      </x:c>
      <x:c r="F44" s="17"/>
      <x:c r="G44" s="22" t="str">
        <x:v>por_verificar</x:v>
      </x:c>
      <x:c r="H44" s="17" t="str">
        <x:v>Tequila silla</x:v>
      </x:c>
      <x:c r="I44" s="17" t="str">
        <x:v>Tequila</x:v>
      </x:c>
      <x:c r="J44" s="17" t="str">
        <x:v>exterior techado</x:v>
      </x:c>
      <x:c r="K44" s="17" t="str">
        <x:v>Acero con pintura electroestática cuerda de multifilamento Acero galvanizado y cuerda textilene</x:v>
      </x:c>
      <x:c r="L44" s="17" t="str">
        <x:v>Fabricación 41*50*77</x:v>
      </x:c>
      <x:c r="M44" s="17" t="str">
        <x:v>Acero con pintura electroestática cuerda de multifilamento Acero galvanizado y cuerda textilene Cojinería se vende por separado.</x:v>
      </x:c>
      <x:c r="N44" s="22" t="str">
        <x:v>pieza</x:v>
      </x:c>
      <x:c r="O44" s="23" t="n">
        <x:v>2399</x:v>
      </x:c>
      <x:c r="P44" s="23" t="n">
        <x:v>2599</x:v>
      </x:c>
      <x:c r="Q44" s="17" t="str">
        <x:v>$2,599 – $2,399 exterior techado</x:v>
      </x:c>
      <x:c r="R44" s="22" t="str">
        <x:v>confirmado</x:v>
      </x:c>
      <x:c r="S44" s="22" t="str">
        <x:v>Sí</x:v>
      </x:c>
      <x:c r="T44" s="24"/>
      <x:c r="U44" s="17" t="str">
        <x:v>https://graph.microsoft.com/v1.0/me/drive/items/01DHXXN7YJMCJUVPBWNJEJPJIH7B4OTAUR#page=15</x:v>
      </x:c>
      <x:c r="V44" s="17" t="str">
        <x:v>https://graph.microsoft.com/v1.0/me/drive/items/01DHXXN7YJMCJUVPBWNJEJPJIH7B4OTAUR</x:v>
      </x:c>
      <x:c r="W44" s="17" t="str">
        <x:v>38afccf394cf94683338ef3e3cf7e78d2646ee35bde1b1044b9ae0772f34ed32</x:v>
      </x:c>
      <x:c r="X44" s="17" t="str">
        <x:v>SKU no publicado; se conserva una identidad técnica estable.</x:v>
      </x:c>
    </x:row>
    <x:row r="45" ht="34" customHeight="1">
      <x:c r="A45" s="17" t="str">
        <x:v>IDÉLIKA</x:v>
      </x:c>
      <x:c r="B45" s="17" t="str">
        <x:v>Fabricacion</x:v>
      </x:c>
      <x:c r="C45" s="17" t="str">
        <x:v>1 CATALOGO FABRICACION 2026B.pdf</x:v>
      </x:c>
      <x:c r="D45" s="21" t="n">
        <x:v>15</x:v>
      </x:c>
      <x:c r="E45" s="17" t="str">
        <x:v>idelika:fabricacion:sin-sku:1b62d1006a40d10315c3</x:v>
      </x:c>
      <x:c r="F45" s="17"/>
      <x:c r="G45" s="22" t="str">
        <x:v>por_verificar</x:v>
      </x:c>
      <x:c r="H45" s="17" t="str">
        <x:v>Tequila silla</x:v>
      </x:c>
      <x:c r="I45" s="17" t="str">
        <x:v>Tequila</x:v>
      </x:c>
      <x:c r="J45" s="17" t="str">
        <x:v>exterior 100%</x:v>
      </x:c>
      <x:c r="K45" s="17" t="str">
        <x:v>Acero con pintura electroestática cuerda de multifilamento Acero galvanizado y cuerda textilene</x:v>
      </x:c>
      <x:c r="L45" s="17"/>
      <x:c r="M45" s="17" t="str">
        <x:v>Acero con pintura electroestática cuerda de multifilamento Acero galvanizado y cuerda textilene Cojinería se vende por separado.</x:v>
      </x:c>
      <x:c r="N45" s="22" t="str">
        <x:v>pieza</x:v>
      </x:c>
      <x:c r="O45" s="23" t="n">
        <x:v>2999</x:v>
      </x:c>
      <x:c r="P45" s="23" t="n">
        <x:v>3299</x:v>
      </x:c>
      <x:c r="Q45" s="17" t="str">
        <x:v>$3,299 – $2,999 exterior 100%</x:v>
      </x:c>
      <x:c r="R45" s="22" t="str">
        <x:v>confirmado</x:v>
      </x:c>
      <x:c r="S45" s="22" t="str">
        <x:v>Sí</x:v>
      </x:c>
      <x:c r="T45" s="24"/>
      <x:c r="U45" s="17" t="str">
        <x:v>https://graph.microsoft.com/v1.0/me/drive/items/01DHXXN7YJMCJUVPBWNJEJPJIH7B4OTAUR#page=15</x:v>
      </x:c>
      <x:c r="V45" s="17" t="str">
        <x:v>https://graph.microsoft.com/v1.0/me/drive/items/01DHXXN7YJMCJUVPBWNJEJPJIH7B4OTAUR</x:v>
      </x:c>
      <x:c r="W45" s="17" t="str">
        <x:v>1b62d1006a40d10315c3c19ee1dcb57e4d6e89c7b1bd40ed6f4f6dec5f659da3</x:v>
      </x:c>
      <x:c r="X45" s="17" t="str">
        <x:v>SKU no publicado; se conserva una identidad técnica estable.</x:v>
      </x:c>
    </x:row>
    <x:row r="46" ht="34" customHeight="1">
      <x:c r="A46" s="17" t="str">
        <x:v>IDÉLIKA</x:v>
      </x:c>
      <x:c r="B46" s="17" t="str">
        <x:v>Fabricacion</x:v>
      </x:c>
      <x:c r="C46" s="17" t="str">
        <x:v>1 CATALOGO FABRICACION 2026B.pdf</x:v>
      </x:c>
      <x:c r="D46" s="21" t="n">
        <x:v>17</x:v>
      </x:c>
      <x:c r="E46" s="17" t="str">
        <x:v>idelika:fabricacion:sin-sku:e9c7e2d8d78972c1b07e</x:v>
      </x:c>
      <x:c r="F46" s="17"/>
      <x:c r="G46" s="22" t="str">
        <x:v>por_verificar</x:v>
      </x:c>
      <x:c r="H46" s="17" t="str">
        <x:v>Zamora silla</x:v>
      </x:c>
      <x:c r="I46" s="17" t="str">
        <x:v>Zamora</x:v>
      </x:c>
      <x:c r="J46" s="17"/>
      <x:c r="K46" s="17" t="str">
        <x:v>Acero con pintura Electroestática, cuerda</x:v>
      </x:c>
      <x:c r="L46" s="17" t="str">
        <x:v>49*56*82</x:v>
      </x:c>
      <x:c r="M46" s="17" t="str">
        <x:v>Acero con pintura Electroestática, cuerda Uso exterior techado (no incluye cojín) 49*56*82</x:v>
      </x:c>
      <x:c r="N46" s="22" t="str">
        <x:v>pieza</x:v>
      </x:c>
      <x:c r="O46" s="23" t="n">
        <x:v>3499</x:v>
      </x:c>
      <x:c r="P46" s="23" t="n">
        <x:v>3990</x:v>
      </x:c>
      <x:c r="Q46" s="17" t="str">
        <x:v>$3,990 – $3,499</x:v>
      </x:c>
      <x:c r="R46" s="22" t="str">
        <x:v>confirmado</x:v>
      </x:c>
      <x:c r="S46" s="22" t="str">
        <x:v>Sí</x:v>
      </x:c>
      <x:c r="T46" s="24"/>
      <x:c r="U46" s="17" t="str">
        <x:v>https://graph.microsoft.com/v1.0/me/drive/items/01DHXXN7YJMCJUVPBWNJEJPJIH7B4OTAUR#page=17</x:v>
      </x:c>
      <x:c r="V46" s="17" t="str">
        <x:v>https://graph.microsoft.com/v1.0/me/drive/items/01DHXXN7YJMCJUVPBWNJEJPJIH7B4OTAUR</x:v>
      </x:c>
      <x:c r="W46" s="17" t="str">
        <x:v>e9c7e2d8d78972c1b07e103ace390329ca9a0c6072f640b3a995328c055be0ba</x:v>
      </x:c>
      <x:c r="X46" s="17" t="str">
        <x:v>SKU no publicado; se conserva una identidad técnica estable.</x:v>
      </x:c>
    </x:row>
    <x:row r="47" ht="34" customHeight="1">
      <x:c r="A47" s="17" t="str">
        <x:v>IDÉLIKA</x:v>
      </x:c>
      <x:c r="B47" s="17" t="str">
        <x:v>Fabricacion</x:v>
      </x:c>
      <x:c r="C47" s="17" t="str">
        <x:v>1 CATALOGO FABRICACION 2026B.pdf</x:v>
      </x:c>
      <x:c r="D47" s="21" t="n">
        <x:v>18</x:v>
      </x:c>
      <x:c r="E47" s="17" t="str">
        <x:v>idelika:fabricacion:sin-sku:1828f1f85672aecfb11e</x:v>
      </x:c>
      <x:c r="F47" s="17"/>
      <x:c r="G47" s="22" t="str">
        <x:v>por_verificar</x:v>
      </x:c>
      <x:c r="H47" s="17" t="str">
        <x:v>Cocula Banco</x:v>
      </x:c>
      <x:c r="I47" s="17" t="str">
        <x:v>Cocula</x:v>
      </x:c>
      <x:c r="J47" s="17" t="str">
        <x:v>exterior techado</x:v>
      </x:c>
      <x:c r="K47" s="17" t="str">
        <x:v>Acero con pintura electroestática , cuerda de multifilamento Acero galvanizado con pintura electroestática cuerda textilene</x:v>
      </x:c>
      <x:c r="L47" s="17" t="str">
        <x:v>Fabricación 48*46*108</x:v>
      </x:c>
      <x:c r="M47" s="17" t="str">
        <x:v>Acero con pintura electroestática , cuerda de multifilamento Acero galvanizado con pintura electroestática cuerda textilene</x:v>
      </x:c>
      <x:c r="N47" s="22" t="str">
        <x:v>pieza</x:v>
      </x:c>
      <x:c r="O47" s="23" t="n">
        <x:v>3199</x:v>
      </x:c>
      <x:c r="P47" s="23" t="n">
        <x:v>3499</x:v>
      </x:c>
      <x:c r="Q47" s="17" t="str">
        <x:v>$3,499 – $3,199 exterior techado</x:v>
      </x:c>
      <x:c r="R47" s="22" t="str">
        <x:v>confirmado</x:v>
      </x:c>
      <x:c r="S47" s="22" t="str">
        <x:v>Sí</x:v>
      </x:c>
      <x:c r="T47" s="24"/>
      <x:c r="U47" s="17" t="str">
        <x:v>https://graph.microsoft.com/v1.0/me/drive/items/01DHXXN7YJMCJUVPBWNJEJPJIH7B4OTAUR#page=18</x:v>
      </x:c>
      <x:c r="V47" s="17" t="str">
        <x:v>https://graph.microsoft.com/v1.0/me/drive/items/01DHXXN7YJMCJUVPBWNJEJPJIH7B4OTAUR</x:v>
      </x:c>
      <x:c r="W47" s="17" t="str">
        <x:v>1828f1f85672aecfb11e679337146429d9fa7c69f2d9091aa3515b2b40557bc4</x:v>
      </x:c>
      <x:c r="X47" s="17" t="str">
        <x:v>SKU no publicado; se conserva una identidad técnica estable.</x:v>
      </x:c>
    </x:row>
    <x:row r="48" ht="34" customHeight="1">
      <x:c r="A48" s="17" t="str">
        <x:v>IDÉLIKA</x:v>
      </x:c>
      <x:c r="B48" s="17" t="str">
        <x:v>Fabricacion</x:v>
      </x:c>
      <x:c r="C48" s="17" t="str">
        <x:v>1 CATALOGO FABRICACION 2026B.pdf</x:v>
      </x:c>
      <x:c r="D48" s="21" t="n">
        <x:v>18</x:v>
      </x:c>
      <x:c r="E48" s="17" t="str">
        <x:v>idelika:fabricacion:sin-sku:b6c43a17125492ca9688</x:v>
      </x:c>
      <x:c r="F48" s="17"/>
      <x:c r="G48" s="22" t="str">
        <x:v>por_verificar</x:v>
      </x:c>
      <x:c r="H48" s="17" t="str">
        <x:v>Cocula Banco</x:v>
      </x:c>
      <x:c r="I48" s="17" t="str">
        <x:v>Cocula</x:v>
      </x:c>
      <x:c r="J48" s="17" t="str">
        <x:v>exterior 100%</x:v>
      </x:c>
      <x:c r="K48" s="17" t="str">
        <x:v>Acero con pintura electroestática , cuerda de multifilamento Acero galvanizado con pintura electroestática cuerda textilene</x:v>
      </x:c>
      <x:c r="L48" s="17"/>
      <x:c r="M48" s="17" t="str">
        <x:v>Acero con pintura electroestática , cuerda de multifilamento Acero galvanizado con pintura electroestática cuerda textilene</x:v>
      </x:c>
      <x:c r="N48" s="22" t="str">
        <x:v>pieza</x:v>
      </x:c>
      <x:c r="O48" s="23" t="n">
        <x:v>3799</x:v>
      </x:c>
      <x:c r="P48" s="23" t="n">
        <x:v>3999</x:v>
      </x:c>
      <x:c r="Q48" s="17" t="str">
        <x:v>$3,999 – $3,799 exterior 100%</x:v>
      </x:c>
      <x:c r="R48" s="22" t="str">
        <x:v>confirmado</x:v>
      </x:c>
      <x:c r="S48" s="22" t="str">
        <x:v>Sí</x:v>
      </x:c>
      <x:c r="T48" s="24"/>
      <x:c r="U48" s="17" t="str">
        <x:v>https://graph.microsoft.com/v1.0/me/drive/items/01DHXXN7YJMCJUVPBWNJEJPJIH7B4OTAUR#page=18</x:v>
      </x:c>
      <x:c r="V48" s="17" t="str">
        <x:v>https://graph.microsoft.com/v1.0/me/drive/items/01DHXXN7YJMCJUVPBWNJEJPJIH7B4OTAUR</x:v>
      </x:c>
      <x:c r="W48" s="17" t="str">
        <x:v>b6c43a17125492ca9688d00355134ac6c260c593ad8522cdadca174f1d1762ae</x:v>
      </x:c>
      <x:c r="X48" s="17" t="str">
        <x:v>SKU no publicado; se conserva una identidad técnica estable.</x:v>
      </x:c>
    </x:row>
    <x:row r="49" ht="34" customHeight="1">
      <x:c r="A49" s="17" t="str">
        <x:v>IDÉLIKA</x:v>
      </x:c>
      <x:c r="B49" s="17" t="str">
        <x:v>Fabricacion</x:v>
      </x:c>
      <x:c r="C49" s="17" t="str">
        <x:v>1 CATALOGO FABRICACION 2026B.pdf</x:v>
      </x:c>
      <x:c r="D49" s="21" t="n">
        <x:v>20</x:v>
      </x:c>
      <x:c r="E49" s="17" t="str">
        <x:v>idelika:fabricacion:sin-sku:dbaa876f688e6b559549</x:v>
      </x:c>
      <x:c r="F49" s="17"/>
      <x:c r="G49" s="22" t="str">
        <x:v>por_verificar</x:v>
      </x:c>
      <x:c r="H49" s="17" t="str">
        <x:v>Acapulco banco Hexagonal</x:v>
      </x:c>
      <x:c r="I49" s="17" t="str">
        <x:v>Acapulco</x:v>
      </x:c>
      <x:c r="J49" s="17"/>
      <x:c r="K49" s="17" t="str">
        <x:v>Acero con pintura Cuerda de multifilamento De polipropileno</x:v>
      </x:c>
      <x:c r="L49" s="17" t="str">
        <x:v>45*40*100/75</x:v>
      </x:c>
      <x:c r="M49" s="17" t="str">
        <x:v>Acero con pintura electroestática Cuerda de multifilamento De polipropileno 45*40*100/75</x:v>
      </x:c>
      <x:c r="N49" s="22" t="str">
        <x:v>pieza</x:v>
      </x:c>
      <x:c r="O49" s="23" t="n">
        <x:v>2699</x:v>
      </x:c>
      <x:c r="P49" s="23" t="n">
        <x:v>2900</x:v>
      </x:c>
      <x:c r="Q49" s="17" t="str">
        <x:v>$2,900 – $2,699</x:v>
      </x:c>
      <x:c r="R49" s="22" t="str">
        <x:v>confirmado</x:v>
      </x:c>
      <x:c r="S49" s="22" t="str">
        <x:v>Sí</x:v>
      </x:c>
      <x:c r="T49" s="24"/>
      <x:c r="U49" s="17" t="str">
        <x:v>https://graph.microsoft.com/v1.0/me/drive/items/01DHXXN7YJMCJUVPBWNJEJPJIH7B4OTAUR#page=20</x:v>
      </x:c>
      <x:c r="V49" s="17" t="str">
        <x:v>https://graph.microsoft.com/v1.0/me/drive/items/01DHXXN7YJMCJUVPBWNJEJPJIH7B4OTAUR</x:v>
      </x:c>
      <x:c r="W49" s="17" t="str">
        <x:v>dbaa876f688e6b55954946131232ba2460f35cd0e812f123c5b133595e34df34</x:v>
      </x:c>
      <x:c r="X49" s="17" t="str">
        <x:v>SKU no publicado; se conserva una identidad técnica estable.</x:v>
      </x:c>
    </x:row>
    <x:row r="50" ht="34" customHeight="1">
      <x:c r="A50" s="17" t="str">
        <x:v>IDÉLIKA</x:v>
      </x:c>
      <x:c r="B50" s="17" t="str">
        <x:v>Fabricacion</x:v>
      </x:c>
      <x:c r="C50" s="17" t="str">
        <x:v>1 CATALOGO FABRICACION 2026B.pdf</x:v>
      </x:c>
      <x:c r="D50" s="21" t="n">
        <x:v>22</x:v>
      </x:c>
      <x:c r="E50" s="17" t="str">
        <x:v>idelika:fabricacion:sin-sku:ad38e05e91da9d495cab</x:v>
      </x:c>
      <x:c r="F50" s="17"/>
      <x:c r="G50" s="22" t="str">
        <x:v>por_verificar</x:v>
      </x:c>
      <x:c r="H50" s="17" t="str">
        <x:v>Set 3+1+1+mesa</x:v>
      </x:c>
      <x:c r="I50" s="17" t="str">
        <x:v>Vallarta</x:v>
      </x:c>
      <x:c r="J50" s="17" t="str">
        <x:v>exterior techado</x:v>
      </x:c>
      <x:c r="K50" s="17" t="str">
        <x:v>Acero con pintura electroestática</x:v>
      </x:c>
      <x:c r="L50" s="17"/>
      <x:c r="M50" s="17" t="str">
        <x:v>Acero con pintura electroestática Uso exterior techado (Galvanízala y úsala 100% exterior)</x:v>
      </x:c>
      <x:c r="N50" s="22" t="str">
        <x:v>pieza</x:v>
      </x:c>
      <x:c r="O50" s="23" t="n">
        <x:v>37960</x:v>
      </x:c>
      <x:c r="P50" s="23" t="n">
        <x:v>44990</x:v>
      </x:c>
      <x:c r="Q50" s="17" t="str">
        <x:v>$44,990 – $37,960 exterior techado</x:v>
      </x:c>
      <x:c r="R50" s="22" t="str">
        <x:v>confirmado</x:v>
      </x:c>
      <x:c r="S50" s="22" t="str">
        <x:v>Sí</x:v>
      </x:c>
      <x:c r="T50" s="24"/>
      <x:c r="U50" s="17" t="str">
        <x:v>https://graph.microsoft.com/v1.0/me/drive/items/01DHXXN7YJMCJUVPBWNJEJPJIH7B4OTAUR#page=22</x:v>
      </x:c>
      <x:c r="V50" s="17" t="str">
        <x:v>https://graph.microsoft.com/v1.0/me/drive/items/01DHXXN7YJMCJUVPBWNJEJPJIH7B4OTAUR</x:v>
      </x:c>
      <x:c r="W50" s="17" t="str">
        <x:v>ad38e05e91da9d495cabb691fe049f26d4891bed278cee856391bd87cbaee8c8</x:v>
      </x:c>
      <x:c r="X50" s="17" t="str">
        <x:v>SKU no publicado; se conserva una identidad técnica estable.</x:v>
      </x:c>
    </x:row>
    <x:row r="51" ht="34" customHeight="1">
      <x:c r="A51" s="17" t="str">
        <x:v>IDÉLIKA</x:v>
      </x:c>
      <x:c r="B51" s="17" t="str">
        <x:v>Fabricacion</x:v>
      </x:c>
      <x:c r="C51" s="17" t="str">
        <x:v>1 CATALOGO FABRICACION 2026B.pdf</x:v>
      </x:c>
      <x:c r="D51" s="21" t="n">
        <x:v>22</x:v>
      </x:c>
      <x:c r="E51" s="17" t="str">
        <x:v>idelika:fabricacion:sin-sku:302a61646ca309259d5e</x:v>
      </x:c>
      <x:c r="F51" s="17"/>
      <x:c r="G51" s="22" t="str">
        <x:v>por_verificar</x:v>
      </x:c>
      <x:c r="H51" s="17" t="str">
        <x:v>Set 3+1+1+mesa</x:v>
      </x:c>
      <x:c r="I51" s="17" t="str">
        <x:v>Vallarta</x:v>
      </x:c>
      <x:c r="J51" s="17" t="str">
        <x:v>exterior 100%</x:v>
      </x:c>
      <x:c r="K51" s="17" t="str">
        <x:v>Acero con pintura electroestática</x:v>
      </x:c>
      <x:c r="L51" s="17"/>
      <x:c r="M51" s="17" t="str">
        <x:v>Acero con pintura electroestática Uso exterior techado (Galvanízala y úsala 100% exterior)</x:v>
      </x:c>
      <x:c r="N51" s="22" t="str">
        <x:v>pieza</x:v>
      </x:c>
      <x:c r="O51" s="23" t="n">
        <x:v>45960</x:v>
      </x:c>
      <x:c r="P51" s="23" t="n">
        <x:v>45990</x:v>
      </x:c>
      <x:c r="Q51" s="17" t="str">
        <x:v>$45,990 – $45,960 exterior 100%</x:v>
      </x:c>
      <x:c r="R51" s="22" t="str">
        <x:v>confirmado</x:v>
      </x:c>
      <x:c r="S51" s="22" t="str">
        <x:v>Sí</x:v>
      </x:c>
      <x:c r="T51" s="24"/>
      <x:c r="U51" s="17" t="str">
        <x:v>https://graph.microsoft.com/v1.0/me/drive/items/01DHXXN7YJMCJUVPBWNJEJPJIH7B4OTAUR#page=22</x:v>
      </x:c>
      <x:c r="V51" s="17" t="str">
        <x:v>https://graph.microsoft.com/v1.0/me/drive/items/01DHXXN7YJMCJUVPBWNJEJPJIH7B4OTAUR</x:v>
      </x:c>
      <x:c r="W51" s="17" t="str">
        <x:v>302a61646ca309259d5e0ceacb050813c08062c378c1ecfa6f53ec6e7d75f31e</x:v>
      </x:c>
      <x:c r="X51" s="17" t="str">
        <x:v>SKU no publicado; se conserva una identidad técnica estable.</x:v>
      </x:c>
    </x:row>
    <x:row r="52" ht="34" customHeight="1">
      <x:c r="A52" s="17" t="str">
        <x:v>IDÉLIKA</x:v>
      </x:c>
      <x:c r="B52" s="17" t="str">
        <x:v>Fabricacion</x:v>
      </x:c>
      <x:c r="C52" s="17" t="str">
        <x:v>1 CATALOGO FABRICACION 2026B.pdf</x:v>
      </x:c>
      <x:c r="D52" s="21" t="n">
        <x:v>23</x:v>
      </x:c>
      <x:c r="E52" s="17" t="str">
        <x:v>idelika:fabricacion:sin-sku:fd3865c27acb9ac75556</x:v>
      </x:c>
      <x:c r="F52" s="17"/>
      <x:c r="G52" s="22" t="str">
        <x:v>por_verificar</x:v>
      </x:c>
      <x:c r="H52" s="17" t="str">
        <x:v>Vallarta camastro</x:v>
      </x:c>
      <x:c r="I52" s="17" t="str">
        <x:v>Vallarta</x:v>
      </x:c>
      <x:c r="J52" s="17"/>
      <x:c r="K52" s="17" t="str">
        <x:v>Acero Galvanizado Loneta 100% exterior</x:v>
      </x:c>
      <x:c r="L52" s="17" t="str">
        <x:v>71*122*80</x:v>
      </x:c>
      <x:c r="M52" s="17" t="str">
        <x:v>Acero Galvanizado Con pintura electroestática Loneta 100% exterior 71*122*80 Vallarta</x:v>
      </x:c>
      <x:c r="N52" s="22" t="str">
        <x:v>pieza</x:v>
      </x:c>
      <x:c r="O52" s="23" t="n">
        <x:v>12990</x:v>
      </x:c>
      <x:c r="P52" s="23" t="n">
        <x:v>13990</x:v>
      </x:c>
      <x:c r="Q52" s="17" t="str">
        <x:v>$13,990 – $12,990</x:v>
      </x:c>
      <x:c r="R52" s="22" t="str">
        <x:v>confirmado</x:v>
      </x:c>
      <x:c r="S52" s="22" t="str">
        <x:v>Sí</x:v>
      </x:c>
      <x:c r="T52" s="24"/>
      <x:c r="U52" s="17" t="str">
        <x:v>https://graph.microsoft.com/v1.0/me/drive/items/01DHXXN7YJMCJUVPBWNJEJPJIH7B4OTAUR#page=23</x:v>
      </x:c>
      <x:c r="V52" s="17" t="str">
        <x:v>https://graph.microsoft.com/v1.0/me/drive/items/01DHXXN7YJMCJUVPBWNJEJPJIH7B4OTAUR</x:v>
      </x:c>
      <x:c r="W52" s="17" t="str">
        <x:v>fd3865c27acb9ac755560a9cdb2c7249dc618cbd3d397ffc8b12a6afb3e50a6a</x:v>
      </x:c>
      <x:c r="X52" s="17" t="str">
        <x:v>SKU no publicado; se conserva una identidad técnica estable.</x:v>
      </x:c>
    </x:row>
    <x:row r="53" ht="34" customHeight="1">
      <x:c r="A53" s="17" t="str">
        <x:v>IDÉLIKA</x:v>
      </x:c>
      <x:c r="B53" s="17" t="str">
        <x:v>Fabricacion</x:v>
      </x:c>
      <x:c r="C53" s="17" t="str">
        <x:v>1 CATALOGO FABRICACION 2026B.pdf</x:v>
      </x:c>
      <x:c r="D53" s="21" t="n">
        <x:v>23</x:v>
      </x:c>
      <x:c r="E53" s="17" t="str">
        <x:v>idelika:fabricacion:sin-sku:f77d64b6eada14909a77</x:v>
      </x:c>
      <x:c r="F53" s="17"/>
      <x:c r="G53" s="22" t="str">
        <x:v>por_verificar</x:v>
      </x:c>
      <x:c r="H53" s="17" t="str">
        <x:v>Vallarta mesa centro</x:v>
      </x:c>
      <x:c r="I53" s="17" t="str">
        <x:v>Vallarta</x:v>
      </x:c>
      <x:c r="J53" s="17" t="str">
        <x:v>exterior techado</x:v>
      </x:c>
      <x:c r="K53" s="17" t="str">
        <x:v>Acero con pintura</x:v>
      </x:c>
      <x:c r="L53" s="17" t="str">
        <x:v>110*55*45 alto</x:v>
      </x:c>
      <x:c r="M53" s="17" t="str">
        <x:v>Acero con pintura Electroestática 110*55*45 alto Pregunta por todas las configuraciones</x:v>
      </x:c>
      <x:c r="N53" s="22" t="str">
        <x:v>pieza</x:v>
      </x:c>
      <x:c r="O53" s="23" t="n">
        <x:v>5990</x:v>
      </x:c>
      <x:c r="P53" s="23" t="n">
        <x:v>6990</x:v>
      </x:c>
      <x:c r="Q53" s="17" t="str">
        <x:v>$6,990 – $5,990 exterior techado</x:v>
      </x:c>
      <x:c r="R53" s="22" t="str">
        <x:v>confirmado</x:v>
      </x:c>
      <x:c r="S53" s="22" t="str">
        <x:v>Sí</x:v>
      </x:c>
      <x:c r="T53" s="24"/>
      <x:c r="U53" s="17" t="str">
        <x:v>https://graph.microsoft.com/v1.0/me/drive/items/01DHXXN7YJMCJUVPBWNJEJPJIH7B4OTAUR#page=23</x:v>
      </x:c>
      <x:c r="V53" s="17" t="str">
        <x:v>https://graph.microsoft.com/v1.0/me/drive/items/01DHXXN7YJMCJUVPBWNJEJPJIH7B4OTAUR</x:v>
      </x:c>
      <x:c r="W53" s="17" t="str">
        <x:v>f77d64b6eada14909a7742b2d7b1ca4836e115e36488e3280eff299e9466ba80</x:v>
      </x:c>
      <x:c r="X53" s="17" t="str">
        <x:v>SKU no publicado; se conserva una identidad técnica estable.</x:v>
      </x:c>
    </x:row>
    <x:row r="54" ht="34" customHeight="1">
      <x:c r="A54" s="17" t="str">
        <x:v>IDÉLIKA</x:v>
      </x:c>
      <x:c r="B54" s="17" t="str">
        <x:v>Fabricacion</x:v>
      </x:c>
      <x:c r="C54" s="17" t="str">
        <x:v>1 CATALOGO FABRICACION 2026B.pdf</x:v>
      </x:c>
      <x:c r="D54" s="21" t="n">
        <x:v>23</x:v>
      </x:c>
      <x:c r="E54" s="17" t="str">
        <x:v>idelika:fabricacion:sin-sku:82772c6a5a71726d3a4f</x:v>
      </x:c>
      <x:c r="F54" s="17"/>
      <x:c r="G54" s="22" t="str">
        <x:v>por_verificar</x:v>
      </x:c>
      <x:c r="H54" s="17" t="str">
        <x:v>Vallarta mesa centro</x:v>
      </x:c>
      <x:c r="I54" s="17" t="str">
        <x:v>Vallarta</x:v>
      </x:c>
      <x:c r="J54" s="17" t="str">
        <x:v>exterior 100%</x:v>
      </x:c>
      <x:c r="K54" s="17" t="str">
        <x:v>Acero con pintura</x:v>
      </x:c>
      <x:c r="L54" s="17"/>
      <x:c r="M54" s="17" t="str">
        <x:v>Acero con pintura Electroestática 110*55*45 alto Pregunta por todas las configuraciones</x:v>
      </x:c>
      <x:c r="N54" s="22" t="str">
        <x:v>pieza</x:v>
      </x:c>
      <x:c r="O54" s="23" t="n">
        <x:v>6990</x:v>
      </x:c>
      <x:c r="P54" s="23" t="n">
        <x:v>7990</x:v>
      </x:c>
      <x:c r="Q54" s="17" t="str">
        <x:v>$7,990 – $6,990 exterior 100%</x:v>
      </x:c>
      <x:c r="R54" s="22" t="str">
        <x:v>confirmado</x:v>
      </x:c>
      <x:c r="S54" s="22" t="str">
        <x:v>Sí</x:v>
      </x:c>
      <x:c r="T54" s="24"/>
      <x:c r="U54" s="17" t="str">
        <x:v>https://graph.microsoft.com/v1.0/me/drive/items/01DHXXN7YJMCJUVPBWNJEJPJIH7B4OTAUR#page=23</x:v>
      </x:c>
      <x:c r="V54" s="17" t="str">
        <x:v>https://graph.microsoft.com/v1.0/me/drive/items/01DHXXN7YJMCJUVPBWNJEJPJIH7B4OTAUR</x:v>
      </x:c>
      <x:c r="W54" s="17" t="str">
        <x:v>82772c6a5a71726d3a4f3803670eeb330c18e2f233c99d7e02d1a2acbc001d79</x:v>
      </x:c>
      <x:c r="X54" s="17" t="str">
        <x:v>SKU no publicado; se conserva una identidad técnica estable.</x:v>
      </x:c>
    </x:row>
    <x:row r="55" ht="34" customHeight="1">
      <x:c r="A55" s="17" t="str">
        <x:v>IDÉLIKA</x:v>
      </x:c>
      <x:c r="B55" s="17" t="str">
        <x:v>Fabricacion</x:v>
      </x:c>
      <x:c r="C55" s="17" t="str">
        <x:v>1 CATALOGO FABRICACION 2026B.pdf</x:v>
      </x:c>
      <x:c r="D55" s="21" t="n">
        <x:v>24</x:v>
      </x:c>
      <x:c r="E55" s="17" t="str">
        <x:v>idelika:fabricacion:sin-sku:7a77d766383d854acaf4</x:v>
      </x:c>
      <x:c r="F55" s="17"/>
      <x:c r="G55" s="22" t="str">
        <x:v>por_verificar</x:v>
      </x:c>
      <x:c r="H55" s="17" t="str">
        <x:v>Silla Chantepec</x:v>
      </x:c>
      <x:c r="I55" s="17" t="str">
        <x:v>Vallarta</x:v>
      </x:c>
      <x:c r="J55" s="17"/>
      <x:c r="K55" s="17" t="str">
        <x:v>Aluminio y cuerda</x:v>
      </x:c>
      <x:c r="L55" s="17" t="str">
        <x:v>60*67*80 alto</x:v>
      </x:c>
      <x:c r="M55" s="17" t="str">
        <x:v>Aluminio y cuerda 60*67*80 alto</x:v>
      </x:c>
      <x:c r="N55" s="22" t="str">
        <x:v>pieza</x:v>
      </x:c>
      <x:c r="O55" s="23" t="n">
        <x:v>5990</x:v>
      </x:c>
      <x:c r="P55" s="23" t="n">
        <x:v>6990</x:v>
      </x:c>
      <x:c r="Q55" s="17" t="str">
        <x:v>$6,990 – $5,990</x:v>
      </x:c>
      <x:c r="R55" s="22" t="str">
        <x:v>confirmado</x:v>
      </x:c>
      <x:c r="S55" s="22" t="str">
        <x:v>Sí</x:v>
      </x:c>
      <x:c r="T55" s="24"/>
      <x:c r="U55" s="17" t="str">
        <x:v>https://graph.microsoft.com/v1.0/me/drive/items/01DHXXN7YJMCJUVPBWNJEJPJIH7B4OTAUR#page=24</x:v>
      </x:c>
      <x:c r="V55" s="17" t="str">
        <x:v>https://graph.microsoft.com/v1.0/me/drive/items/01DHXXN7YJMCJUVPBWNJEJPJIH7B4OTAUR</x:v>
      </x:c>
      <x:c r="W55" s="17" t="str">
        <x:v>7a77d766383d854acaf4bbf412ffb90ac41a48d2e1382d110d112608ae350740</x:v>
      </x:c>
      <x:c r="X55" s="17" t="str">
        <x:v>SKU no publicado; se conserva una identidad técnica estable.</x:v>
      </x:c>
    </x:row>
    <x:row r="56" ht="34" customHeight="1">
      <x:c r="A56" s="17" t="str">
        <x:v>IDÉLIKA</x:v>
      </x:c>
      <x:c r="B56" s="17" t="str">
        <x:v>Fabricacion</x:v>
      </x:c>
      <x:c r="C56" s="17" t="str">
        <x:v>1 CATALOGO FABRICACION 2026B.pdf</x:v>
      </x:c>
      <x:c r="D56" s="21" t="n">
        <x:v>24</x:v>
      </x:c>
      <x:c r="E56" s="17" t="str">
        <x:v>idelika:fabricacion:sin-sku:fd3df1628be3307a1631</x:v>
      </x:c>
      <x:c r="F56" s="17"/>
      <x:c r="G56" s="22" t="str">
        <x:v>por_verificar</x:v>
      </x:c>
      <x:c r="H56" s="17" t="str">
        <x:v>Jocotepec silla</x:v>
      </x:c>
      <x:c r="I56" s="17" t="str">
        <x:v>Vallarta</x:v>
      </x:c>
      <x:c r="J56" s="17"/>
      <x:c r="K56" s="17" t="str">
        <x:v>Aluminio y cuerda</x:v>
      </x:c>
      <x:c r="L56" s="17" t="str">
        <x:v>51*63*81 alto</x:v>
      </x:c>
      <x:c r="M56" s="17" t="str">
        <x:v>Aluminio y cuerda 51*63*81 alto Con la silla Jocotepec lograrás el Mismo resultado pero al ser mas Angosta podrás meter 8 sillas en Lugar de 6</x:v>
      </x:c>
      <x:c r="N56" s="22" t="str">
        <x:v>pieza</x:v>
      </x:c>
      <x:c r="O56" s="23" t="n">
        <x:v>4999</x:v>
      </x:c>
      <x:c r="P56" s="23" t="n">
        <x:v>5990</x:v>
      </x:c>
      <x:c r="Q56" s="17" t="str">
        <x:v>$5,990 – $4,999</x:v>
      </x:c>
      <x:c r="R56" s="22" t="str">
        <x:v>confirmado</x:v>
      </x:c>
      <x:c r="S56" s="22" t="str">
        <x:v>Sí</x:v>
      </x:c>
      <x:c r="T56" s="24"/>
      <x:c r="U56" s="17" t="str">
        <x:v>https://graph.microsoft.com/v1.0/me/drive/items/01DHXXN7YJMCJUVPBWNJEJPJIH7B4OTAUR#page=24</x:v>
      </x:c>
      <x:c r="V56" s="17" t="str">
        <x:v>https://graph.microsoft.com/v1.0/me/drive/items/01DHXXN7YJMCJUVPBWNJEJPJIH7B4OTAUR</x:v>
      </x:c>
      <x:c r="W56" s="17" t="str">
        <x:v>fd3df1628be3307a1631ae73c1d87ddef31a8405db805f6fa21c3e59859e74bb</x:v>
      </x:c>
      <x:c r="X56" s="17" t="str">
        <x:v>SKU no publicado; se conserva una identidad técnica estable.</x:v>
      </x:c>
    </x:row>
    <x:row r="57" ht="34" customHeight="1">
      <x:c r="A57" s="17" t="str">
        <x:v>IDÉLIKA</x:v>
      </x:c>
      <x:c r="B57" s="17" t="str">
        <x:v>Fabricacion</x:v>
      </x:c>
      <x:c r="C57" s="17" t="str">
        <x:v>1 CATALOGO FABRICACION 2026B.pdf</x:v>
      </x:c>
      <x:c r="D57" s="21" t="n">
        <x:v>24</x:v>
      </x:c>
      <x:c r="E57" s="17" t="str">
        <x:v>idelika:fabricacion:sin-sku:051207badf87120eb4be</x:v>
      </x:c>
      <x:c r="F57" s="17"/>
      <x:c r="G57" s="22" t="str">
        <x:v>por_verificar</x:v>
      </x:c>
      <x:c r="H57" s="17" t="str">
        <x:v>Mesa Normandia</x:v>
      </x:c>
      <x:c r="I57" s="17" t="str">
        <x:v>Vallarta</x:v>
      </x:c>
      <x:c r="J57" s="17"/>
      <x:c r="K57" s="17" t="str">
        <x:v>Aluminio y cristal templado Acero Galvanizado Loneta 100% exterior Acero Galvanizado</x:v>
      </x:c>
      <x:c r="L57" s="17" t="str">
        <x:v>200*80*75 alto</x:v>
      </x:c>
      <x:c r="M57" s="17" t="str">
        <x:v>Aluminio y cristal templado 200*80*75 alto Vallarta daybed Acero Galvanizado Con pintura electroestática Loneta 100% exterior 192*130*78 Variante Vallarta Lounge Acero Galvanizado Con pintura electroestática Loneta 100% exterior 90*95*78</x:v>
      </x:c>
      <x:c r="N57" s="22" t="str">
        <x:v>pieza</x:v>
      </x:c>
      <x:c r="O57" s="23" t="n">
        <x:v>19990</x:v>
      </x:c>
      <x:c r="P57" s="23" t="n">
        <x:v>22990</x:v>
      </x:c>
      <x:c r="Q57" s="17" t="str">
        <x:v>$22,990 – $19,990</x:v>
      </x:c>
      <x:c r="R57" s="22" t="str">
        <x:v>confirmado</x:v>
      </x:c>
      <x:c r="S57" s="22" t="str">
        <x:v>Sí</x:v>
      </x:c>
      <x:c r="T57" s="24"/>
      <x:c r="U57" s="17" t="str">
        <x:v>https://graph.microsoft.com/v1.0/me/drive/items/01DHXXN7YJMCJUVPBWNJEJPJIH7B4OTAUR#page=24</x:v>
      </x:c>
      <x:c r="V57" s="17" t="str">
        <x:v>https://graph.microsoft.com/v1.0/me/drive/items/01DHXXN7YJMCJUVPBWNJEJPJIH7B4OTAUR</x:v>
      </x:c>
      <x:c r="W57" s="17" t="str">
        <x:v>051207badf87120eb4bed07dccbd777d4dc9d15a21f62cc69162df2397c06c47</x:v>
      </x:c>
      <x:c r="X57" s="17" t="str">
        <x:v>SKU no publicado; se conserva una identidad técnica estable.</x:v>
      </x:c>
    </x:row>
    <x:row r="58" ht="34" customHeight="1">
      <x:c r="A58" s="17" t="str">
        <x:v>IDÉLIKA</x:v>
      </x:c>
      <x:c r="B58" s="17" t="str">
        <x:v>Fabricacion</x:v>
      </x:c>
      <x:c r="C58" s="17" t="str">
        <x:v>1 CATALOGO FABRICACION 2026B.pdf</x:v>
      </x:c>
      <x:c r="D58" s="21" t="n">
        <x:v>24</x:v>
      </x:c>
      <x:c r="E58" s="17" t="str">
        <x:v>idelika:fabricacion:sin-sku:4ff6d99d243bdb64e758</x:v>
      </x:c>
      <x:c r="F58" s="17"/>
      <x:c r="G58" s="22" t="str">
        <x:v>por_verificar</x:v>
      </x:c>
      <x:c r="H58" s="17" t="str">
        <x:v>Mesa Normandia</x:v>
      </x:c>
      <x:c r="I58" s="17" t="str">
        <x:v>Vallarta</x:v>
      </x:c>
      <x:c r="J58" s="17"/>
      <x:c r="K58" s="17" t="str">
        <x:v>Aluminio y cristal templado Acero Galvanizado Loneta 100% exterior Acero Galvanizado</x:v>
      </x:c>
      <x:c r="L58" s="17" t="str">
        <x:v>192*130*78</x:v>
      </x:c>
      <x:c r="M58" s="17" t="str">
        <x:v>Aluminio y cristal templado 200*80*75 alto Vallarta daybed Acero Galvanizado Con pintura electroestática Loneta 100% exterior 192*130*78 Variante Vallarta Lounge Acero Galvanizado Con pintura electroestática Loneta 100% exterior 90*95*78</x:v>
      </x:c>
      <x:c r="N58" s="22" t="str">
        <x:v>pieza</x:v>
      </x:c>
      <x:c r="O58" s="23" t="n">
        <x:v>34990</x:v>
      </x:c>
      <x:c r="P58" s="23" t="n">
        <x:v>39990</x:v>
      </x:c>
      <x:c r="Q58" s="17" t="str">
        <x:v>$39,990 – $34,990</x:v>
      </x:c>
      <x:c r="R58" s="22" t="str">
        <x:v>confirmado</x:v>
      </x:c>
      <x:c r="S58" s="22" t="str">
        <x:v>Sí</x:v>
      </x:c>
      <x:c r="T58" s="24"/>
      <x:c r="U58" s="17" t="str">
        <x:v>https://graph.microsoft.com/v1.0/me/drive/items/01DHXXN7YJMCJUVPBWNJEJPJIH7B4OTAUR#page=24</x:v>
      </x:c>
      <x:c r="V58" s="17" t="str">
        <x:v>https://graph.microsoft.com/v1.0/me/drive/items/01DHXXN7YJMCJUVPBWNJEJPJIH7B4OTAUR</x:v>
      </x:c>
      <x:c r="W58" s="17" t="str">
        <x:v>4ff6d99d243bdb64e758df6875bccc68144167b6fcd6580c63bcc4e347568685</x:v>
      </x:c>
      <x:c r="X58" s="17" t="str">
        <x:v>SKU no publicado; se conserva una identidad técnica estable.</x:v>
      </x:c>
    </x:row>
    <x:row r="59" ht="34" customHeight="1">
      <x:c r="A59" s="17" t="str">
        <x:v>IDÉLIKA</x:v>
      </x:c>
      <x:c r="B59" s="17" t="str">
        <x:v>Fabricacion</x:v>
      </x:c>
      <x:c r="C59" s="17" t="str">
        <x:v>1 CATALOGO FABRICACION 2026B.pdf</x:v>
      </x:c>
      <x:c r="D59" s="21" t="n">
        <x:v>24</x:v>
      </x:c>
      <x:c r="E59" s="17" t="str">
        <x:v>idelika:fabricacion:sin-sku:c97f2088bc0dcca51019</x:v>
      </x:c>
      <x:c r="F59" s="17"/>
      <x:c r="G59" s="22" t="str">
        <x:v>por_verificar</x:v>
      </x:c>
      <x:c r="H59" s="17" t="str">
        <x:v>Mesa Normandia</x:v>
      </x:c>
      <x:c r="I59" s="17" t="str">
        <x:v>Vallarta</x:v>
      </x:c>
      <x:c r="J59" s="17"/>
      <x:c r="K59" s="17" t="str">
        <x:v>Aluminio y cristal templado Acero Galvanizado Loneta 100% exterior Acero Galvanizado</x:v>
      </x:c>
      <x:c r="L59" s="17" t="str">
        <x:v>90*95*78</x:v>
      </x:c>
      <x:c r="M59" s="17" t="str">
        <x:v>Aluminio y cristal templado 200*80*75 alto Vallarta daybed Acero Galvanizado Con pintura electroestática Loneta 100% exterior 192*130*78 Variante Vallarta Lounge Acero Galvanizado Con pintura electroestática Loneta 100% exterior 90*95*78</x:v>
      </x:c>
      <x:c r="N59" s="22" t="str">
        <x:v>pieza</x:v>
      </x:c>
      <x:c r="O59" s="23" t="n">
        <x:v>12990</x:v>
      </x:c>
      <x:c r="P59" s="23" t="n">
        <x:v>15990</x:v>
      </x:c>
      <x:c r="Q59" s="17" t="str">
        <x:v>$15,990 – $12,990</x:v>
      </x:c>
      <x:c r="R59" s="22" t="str">
        <x:v>confirmado</x:v>
      </x:c>
      <x:c r="S59" s="22" t="str">
        <x:v>Sí</x:v>
      </x:c>
      <x:c r="T59" s="24"/>
      <x:c r="U59" s="17" t="str">
        <x:v>https://graph.microsoft.com/v1.0/me/drive/items/01DHXXN7YJMCJUVPBWNJEJPJIH7B4OTAUR#page=24</x:v>
      </x:c>
      <x:c r="V59" s="17" t="str">
        <x:v>https://graph.microsoft.com/v1.0/me/drive/items/01DHXXN7YJMCJUVPBWNJEJPJIH7B4OTAUR</x:v>
      </x:c>
      <x:c r="W59" s="17" t="str">
        <x:v>c97f2088bc0dcca51019f518916d3acbff97a85dc02c0cf06f0350f54b0212f1</x:v>
      </x:c>
      <x:c r="X59" s="17" t="str">
        <x:v>SKU no publicado; se conserva una identidad técnica estable.</x:v>
      </x:c>
    </x:row>
    <x:row r="60" ht="34" customHeight="1">
      <x:c r="A60" s="17" t="str">
        <x:v>IDÉLIKA</x:v>
      </x:c>
      <x:c r="B60" s="17" t="str">
        <x:v>Fabricacion</x:v>
      </x:c>
      <x:c r="C60" s="17" t="str">
        <x:v>1 CATALOGO FABRICACION 2026B.pdf</x:v>
      </x:c>
      <x:c r="D60" s="21" t="n">
        <x:v>26</x:v>
      </x:c>
      <x:c r="E60" s="17" t="str">
        <x:v>idelika:fabricacion:sin-sku:63ba46c179114f472041</x:v>
      </x:c>
      <x:c r="F60" s="17"/>
      <x:c r="G60" s="22" t="str">
        <x:v>por_verificar</x:v>
      </x:c>
      <x:c r="H60" s="17" t="str">
        <x:v>Chacala Camastro 2 Plazas</x:v>
      </x:c>
      <x:c r="I60" s="17" t="str">
        <x:v>Chacala</x:v>
      </x:c>
      <x:c r="J60" s="17"/>
      <x:c r="K60" s="17" t="str">
        <x:v>Acero con pintura loneta 100% exterior atenzza</x:v>
      </x:c>
      <x:c r="L60" s="17" t="str">
        <x:v>170*95*80</x:v>
      </x:c>
      <x:c r="M60" s="17" t="str">
        <x:v>Acero con pintura electroestática y loneta 100% exterior atenzza Colchoneta + 2 cojines 170*95*80</x:v>
      </x:c>
      <x:c r="N60" s="22" t="str">
        <x:v>pieza</x:v>
      </x:c>
      <x:c r="O60" s="23" t="n">
        <x:v>21990</x:v>
      </x:c>
      <x:c r="P60" s="23" t="n">
        <x:v>26990</x:v>
      </x:c>
      <x:c r="Q60" s="17" t="str">
        <x:v>$26,990 – $21,990</x:v>
      </x:c>
      <x:c r="R60" s="22" t="str">
        <x:v>confirmado</x:v>
      </x:c>
      <x:c r="S60" s="22" t="str">
        <x:v>Sí</x:v>
      </x:c>
      <x:c r="T60" s="24"/>
      <x:c r="U60" s="17" t="str">
        <x:v>https://graph.microsoft.com/v1.0/me/drive/items/01DHXXN7YJMCJUVPBWNJEJPJIH7B4OTAUR#page=26</x:v>
      </x:c>
      <x:c r="V60" s="17" t="str">
        <x:v>https://graph.microsoft.com/v1.0/me/drive/items/01DHXXN7YJMCJUVPBWNJEJPJIH7B4OTAUR</x:v>
      </x:c>
      <x:c r="W60" s="17" t="str">
        <x:v>63ba46c179114f472041013ea69786985015938a6875c5037ca04a0aa985fca5</x:v>
      </x:c>
      <x:c r="X60" s="17" t="str">
        <x:v>SKU no publicado; se conserva una identidad técnica estable.</x:v>
      </x:c>
    </x:row>
    <x:row r="61" ht="34" customHeight="1">
      <x:c r="A61" s="17" t="str">
        <x:v>IDÉLIKA</x:v>
      </x:c>
      <x:c r="B61" s="17" t="str">
        <x:v>Fabricacion</x:v>
      </x:c>
      <x:c r="C61" s="17" t="str">
        <x:v>1 CATALOGO FABRICACION 2026B.pdf</x:v>
      </x:c>
      <x:c r="D61" s="21" t="n">
        <x:v>26</x:v>
      </x:c>
      <x:c r="E61" s="17" t="str">
        <x:v>idelika:fabricacion:sin-sku:50cb94ec94d2aeed4ab5</x:v>
      </x:c>
      <x:c r="F61" s="17"/>
      <x:c r="G61" s="22" t="str">
        <x:v>por_verificar</x:v>
      </x:c>
      <x:c r="H61" s="17" t="str">
        <x:v>Chacala Camastro 1 Plaza</x:v>
      </x:c>
      <x:c r="I61" s="17" t="str">
        <x:v>Chacala</x:v>
      </x:c>
      <x:c r="J61" s="17"/>
      <x:c r="K61" s="17" t="str">
        <x:v>Acero con pintura electroestática y loneta 100% exterior atenzza</x:v>
      </x:c>
      <x:c r="L61" s="17" t="str">
        <x:v>168*70*90</x:v>
      </x:c>
      <x:c r="M61" s="17" t="str">
        <x:v>Acero con pintura electroestática y loneta 100% exterior atenzza Colchoneta + 2 cojines 168*70*90</x:v>
      </x:c>
      <x:c r="N61" s="22" t="str">
        <x:v>pieza</x:v>
      </x:c>
      <x:c r="O61" s="23" t="n">
        <x:v>16459</x:v>
      </x:c>
      <x:c r="P61" s="23" t="n">
        <x:v>16990</x:v>
      </x:c>
      <x:c r="Q61" s="17" t="str">
        <x:v>$16,990 – $16,459</x:v>
      </x:c>
      <x:c r="R61" s="22" t="str">
        <x:v>confirmado</x:v>
      </x:c>
      <x:c r="S61" s="22" t="str">
        <x:v>Sí</x:v>
      </x:c>
      <x:c r="T61" s="24"/>
      <x:c r="U61" s="17" t="str">
        <x:v>https://graph.microsoft.com/v1.0/me/drive/items/01DHXXN7YJMCJUVPBWNJEJPJIH7B4OTAUR#page=26</x:v>
      </x:c>
      <x:c r="V61" s="17" t="str">
        <x:v>https://graph.microsoft.com/v1.0/me/drive/items/01DHXXN7YJMCJUVPBWNJEJPJIH7B4OTAUR</x:v>
      </x:c>
      <x:c r="W61" s="17" t="str">
        <x:v>50cb94ec94d2aeed4ab5dc08a1f9b5a35da98d01b6959d1185b02f882102defc</x:v>
      </x:c>
      <x:c r="X61" s="17" t="str">
        <x:v>SKU no publicado; se conserva una identidad técnica estable.</x:v>
      </x:c>
    </x:row>
    <x:row r="62" ht="34" customHeight="1">
      <x:c r="A62" s="17" t="str">
        <x:v>IDÉLIKA</x:v>
      </x:c>
      <x:c r="B62" s="17" t="str">
        <x:v>Fabricacion</x:v>
      </x:c>
      <x:c r="C62" s="17" t="str">
        <x:v>1 CATALOGO FABRICACION 2026B.pdf</x:v>
      </x:c>
      <x:c r="D62" s="21" t="n">
        <x:v>27</x:v>
      </x:c>
      <x:c r="E62" s="17" t="str">
        <x:v>idelika:fabricacion:sin-sku:585b4977396ac25e4c33</x:v>
      </x:c>
      <x:c r="F62" s="17"/>
      <x:c r="G62" s="22" t="str">
        <x:v>por_verificar</x:v>
      </x:c>
      <x:c r="H62" s="17" t="str">
        <x:v>Chamela silla</x:v>
      </x:c>
      <x:c r="I62" s="17"/>
      <x:c r="J62" s="17" t="str">
        <x:v>exterior techado</x:v>
      </x:c>
      <x:c r="K62" s="17" t="str">
        <x:v>Acero con pintura electroestática cuerda de multifilamento y tela Aluminio, cuerda textilene y loneta</x:v>
      </x:c>
      <x:c r="L62" s="17" t="str">
        <x:v>Fabricación 70*50*82 alto</x:v>
      </x:c>
      <x:c r="M62" s="17" t="str">
        <x:v>Acero con pintura electroestática cuerda de multifilamento y tela Aluminio, cuerda textilene y loneta de exterior (lleva refuerzo reposapiés)</x:v>
      </x:c>
      <x:c r="N62" s="22" t="str">
        <x:v>pieza</x:v>
      </x:c>
      <x:c r="O62" s="23" t="n">
        <x:v>3999</x:v>
      </x:c>
      <x:c r="P62" s="23" t="n">
        <x:v>4490</x:v>
      </x:c>
      <x:c r="Q62" s="17" t="str">
        <x:v>$4,490 – $3,999 exterior techado</x:v>
      </x:c>
      <x:c r="R62" s="22" t="str">
        <x:v>confirmado</x:v>
      </x:c>
      <x:c r="S62" s="22" t="str">
        <x:v>Sí</x:v>
      </x:c>
      <x:c r="T62" s="24"/>
      <x:c r="U62" s="17" t="str">
        <x:v>https://graph.microsoft.com/v1.0/me/drive/items/01DHXXN7YJMCJUVPBWNJEJPJIH7B4OTAUR#page=27</x:v>
      </x:c>
      <x:c r="V62" s="17" t="str">
        <x:v>https://graph.microsoft.com/v1.0/me/drive/items/01DHXXN7YJMCJUVPBWNJEJPJIH7B4OTAUR</x:v>
      </x:c>
      <x:c r="W62" s="17" t="str">
        <x:v>585b4977396ac25e4c336588135d80b84235655aaf4f739206f6da5eb48aaa46</x:v>
      </x:c>
      <x:c r="X62" s="17" t="str">
        <x:v>SKU no publicado; se conserva una identidad técnica estable.</x:v>
      </x:c>
    </x:row>
    <x:row r="63" ht="34" customHeight="1">
      <x:c r="A63" s="17" t="str">
        <x:v>IDÉLIKA</x:v>
      </x:c>
      <x:c r="B63" s="17" t="str">
        <x:v>Fabricacion</x:v>
      </x:c>
      <x:c r="C63" s="17" t="str">
        <x:v>1 CATALOGO FABRICACION 2026B.pdf</x:v>
      </x:c>
      <x:c r="D63" s="21" t="n">
        <x:v>27</x:v>
      </x:c>
      <x:c r="E63" s="17" t="str">
        <x:v>idelika:fabricacion:sin-sku:3945d5d690f55139728b</x:v>
      </x:c>
      <x:c r="F63" s="17"/>
      <x:c r="G63" s="22" t="str">
        <x:v>por_verificar</x:v>
      </x:c>
      <x:c r="H63" s="17" t="str">
        <x:v>Chamela silla</x:v>
      </x:c>
      <x:c r="I63" s="17"/>
      <x:c r="J63" s="17" t="str">
        <x:v>exterior 100%</x:v>
      </x:c>
      <x:c r="K63" s="17" t="str">
        <x:v>Acero con pintura electroestática cuerda de multifilamento y tela Aluminio, cuerda textilene y loneta</x:v>
      </x:c>
      <x:c r="L63" s="17"/>
      <x:c r="M63" s="17" t="str">
        <x:v>Acero con pintura electroestática cuerda de multifilamento y tela Aluminio, cuerda textilene y loneta de exterior (lleva refuerzo reposapiés)</x:v>
      </x:c>
      <x:c r="N63" s="22" t="str">
        <x:v>pieza</x:v>
      </x:c>
      <x:c r="O63" s="23" t="n">
        <x:v>5990</x:v>
      </x:c>
      <x:c r="P63" s="23" t="n">
        <x:v>6290</x:v>
      </x:c>
      <x:c r="Q63" s="17" t="str">
        <x:v>$6,290 – $5,990 exterior 100%</x:v>
      </x:c>
      <x:c r="R63" s="22" t="str">
        <x:v>confirmado</x:v>
      </x:c>
      <x:c r="S63" s="22" t="str">
        <x:v>Sí</x:v>
      </x:c>
      <x:c r="T63" s="24"/>
      <x:c r="U63" s="17" t="str">
        <x:v>https://graph.microsoft.com/v1.0/me/drive/items/01DHXXN7YJMCJUVPBWNJEJPJIH7B4OTAUR#page=27</x:v>
      </x:c>
      <x:c r="V63" s="17" t="str">
        <x:v>https://graph.microsoft.com/v1.0/me/drive/items/01DHXXN7YJMCJUVPBWNJEJPJIH7B4OTAUR</x:v>
      </x:c>
      <x:c r="W63" s="17" t="str">
        <x:v>3945d5d690f55139728b129520b68aa6767463b959c1d63f712afb5e964b8bd9</x:v>
      </x:c>
      <x:c r="X63" s="17" t="str">
        <x:v>SKU no publicado; se conserva una identidad técnica estable.</x:v>
      </x:c>
    </x:row>
    <x:row r="64" ht="34" customHeight="1">
      <x:c r="A64" s="17" t="str">
        <x:v>IDÉLIKA</x:v>
      </x:c>
      <x:c r="B64" s="17" t="str">
        <x:v>Fabricacion</x:v>
      </x:c>
      <x:c r="C64" s="17" t="str">
        <x:v>1 CATALOGO FABRICACION 2026B.pdf</x:v>
      </x:c>
      <x:c r="D64" s="21" t="n">
        <x:v>27</x:v>
      </x:c>
      <x:c r="E64" s="17" t="str">
        <x:v>idelika:fabricacion:sin-sku:45ea5907b41f7d813c44</x:v>
      </x:c>
      <x:c r="F64" s="17"/>
      <x:c r="G64" s="22" t="str">
        <x:v>por_verificar</x:v>
      </x:c>
      <x:c r="H64" s="17" t="str">
        <x:v>Manzanillo sillón</x:v>
      </x:c>
      <x:c r="I64" s="17"/>
      <x:c r="J64" s="17" t="str">
        <x:v>exterior techado</x:v>
      </x:c>
      <x:c r="K64" s="17" t="str">
        <x:v>Acero y cuerda marina Con tela</x:v>
      </x:c>
      <x:c r="L64" s="17" t="str">
        <x:v>54*53*83</x:v>
      </x:c>
      <x:c r="M64" s="17" t="str">
        <x:v>Acero y cuerda marina Con tela 54*53*83</x:v>
      </x:c>
      <x:c r="N64" s="22" t="str">
        <x:v>pieza</x:v>
      </x:c>
      <x:c r="O64" s="23" t="n">
        <x:v>5990</x:v>
      </x:c>
      <x:c r="P64" s="23" t="n">
        <x:v>6990</x:v>
      </x:c>
      <x:c r="Q64" s="17" t="str">
        <x:v>$6,990 – $5,990 exterior techado</x:v>
      </x:c>
      <x:c r="R64" s="22" t="str">
        <x:v>confirmado</x:v>
      </x:c>
      <x:c r="S64" s="22" t="str">
        <x:v>Sí</x:v>
      </x:c>
      <x:c r="T64" s="24"/>
      <x:c r="U64" s="17" t="str">
        <x:v>https://graph.microsoft.com/v1.0/me/drive/items/01DHXXN7YJMCJUVPBWNJEJPJIH7B4OTAUR#page=27</x:v>
      </x:c>
      <x:c r="V64" s="17" t="str">
        <x:v>https://graph.microsoft.com/v1.0/me/drive/items/01DHXXN7YJMCJUVPBWNJEJPJIH7B4OTAUR</x:v>
      </x:c>
      <x:c r="W64" s="17" t="str">
        <x:v>45ea5907b41f7d813c4459d9bc21821f0e6f00bd4391e6b5c7b5543fbd0711e1</x:v>
      </x:c>
      <x:c r="X64" s="17" t="str">
        <x:v>SKU no publicado; se conserva una identidad técnica estable.</x:v>
      </x:c>
    </x:row>
    <x:row r="65" ht="34" customHeight="1">
      <x:c r="A65" s="17" t="str">
        <x:v>IDÉLIKA</x:v>
      </x:c>
      <x:c r="B65" s="17" t="str">
        <x:v>Fabricacion</x:v>
      </x:c>
      <x:c r="C65" s="17" t="str">
        <x:v>1 CATALOGO FABRICACION 2026B.pdf</x:v>
      </x:c>
      <x:c r="D65" s="21" t="n">
        <x:v>27</x:v>
      </x:c>
      <x:c r="E65" s="17" t="str">
        <x:v>idelika:fabricacion:sin-sku:dde34ae3d532b01ce628</x:v>
      </x:c>
      <x:c r="F65" s="17"/>
      <x:c r="G65" s="22" t="str">
        <x:v>por_verificar</x:v>
      </x:c>
      <x:c r="H65" s="17" t="str">
        <x:v>Manzanillo sillón</x:v>
      </x:c>
      <x:c r="I65" s="17"/>
      <x:c r="J65" s="17" t="str">
        <x:v>exterior 100%</x:v>
      </x:c>
      <x:c r="K65" s="17" t="str">
        <x:v>Acero y cuerda marina Con tela</x:v>
      </x:c>
      <x:c r="L65" s="17"/>
      <x:c r="M65" s="17" t="str">
        <x:v>Acero y cuerda marina Con tela 54*53*83</x:v>
      </x:c>
      <x:c r="N65" s="22" t="str">
        <x:v>pieza</x:v>
      </x:c>
      <x:c r="O65" s="23" t="n">
        <x:v>7990</x:v>
      </x:c>
      <x:c r="P65" s="23" t="n">
        <x:v>8990</x:v>
      </x:c>
      <x:c r="Q65" s="17" t="str">
        <x:v>$8,990 – $7,990 exterior 100%</x:v>
      </x:c>
      <x:c r="R65" s="22" t="str">
        <x:v>confirmado</x:v>
      </x:c>
      <x:c r="S65" s="22" t="str">
        <x:v>Sí</x:v>
      </x:c>
      <x:c r="T65" s="24"/>
      <x:c r="U65" s="17" t="str">
        <x:v>https://graph.microsoft.com/v1.0/me/drive/items/01DHXXN7YJMCJUVPBWNJEJPJIH7B4OTAUR#page=27</x:v>
      </x:c>
      <x:c r="V65" s="17" t="str">
        <x:v>https://graph.microsoft.com/v1.0/me/drive/items/01DHXXN7YJMCJUVPBWNJEJPJIH7B4OTAUR</x:v>
      </x:c>
      <x:c r="W65" s="17" t="str">
        <x:v>dde34ae3d532b01ce628a0ba3a84d521c316338261893cbb5d0fb8a6f4c59ad0</x:v>
      </x:c>
      <x:c r="X65" s="17" t="str">
        <x:v>SKU no publicado; se conserva una identidad técnica estable.</x:v>
      </x:c>
    </x:row>
    <x:row r="66" ht="34" customHeight="1">
      <x:c r="A66" s="17" t="str">
        <x:v>IDÉLIKA</x:v>
      </x:c>
      <x:c r="B66" s="17" t="str">
        <x:v>Fabricacion</x:v>
      </x:c>
      <x:c r="C66" s="17" t="str">
        <x:v>1 CATALOGO FABRICACION 2026B.pdf</x:v>
      </x:c>
      <x:c r="D66" s="21" t="n">
        <x:v>28</x:v>
      </x:c>
      <x:c r="E66" s="17" t="str">
        <x:v>idelika:fabricacion:sin-sku:218ac6ba23e6cc3154f9</x:v>
      </x:c>
      <x:c r="F66" s="17"/>
      <x:c r="G66" s="22" t="str">
        <x:v>por_verificar</x:v>
      </x:c>
      <x:c r="H66" s="17" t="str">
        <x:v>Yelapa Camastro</x:v>
      </x:c>
      <x:c r="I66" s="17"/>
      <x:c r="J66" s="17"/>
      <x:c r="K66" s="17" t="str">
        <x:v>Madera de parota y Acero galvanizado Loneta 100% exterior atenzza</x:v>
      </x:c>
      <x:c r="L66" s="17" t="str">
        <x:v>180*100*80</x:v>
      </x:c>
      <x:c r="M66" s="17" t="str">
        <x:v>Madera de parota y Acero galvanizado Loneta 100% exterior atenzza 180*100*80</x:v>
      </x:c>
      <x:c r="N66" s="22" t="str">
        <x:v>pieza</x:v>
      </x:c>
      <x:c r="O66" s="23" t="n">
        <x:v>13490</x:v>
      </x:c>
      <x:c r="P66" s="23" t="n">
        <x:v>13990</x:v>
      </x:c>
      <x:c r="Q66" s="17" t="str">
        <x:v>$13,990 – $13,490</x:v>
      </x:c>
      <x:c r="R66" s="22" t="str">
        <x:v>confirmado</x:v>
      </x:c>
      <x:c r="S66" s="22" t="str">
        <x:v>Sí</x:v>
      </x:c>
      <x:c r="T66" s="24"/>
      <x:c r="U66" s="17" t="str">
        <x:v>https://graph.microsoft.com/v1.0/me/drive/items/01DHXXN7YJMCJUVPBWNJEJPJIH7B4OTAUR#page=28</x:v>
      </x:c>
      <x:c r="V66" s="17" t="str">
        <x:v>https://graph.microsoft.com/v1.0/me/drive/items/01DHXXN7YJMCJUVPBWNJEJPJIH7B4OTAUR</x:v>
      </x:c>
      <x:c r="W66" s="17" t="str">
        <x:v>218ac6ba23e6cc3154f93dcd3df649e3fb41b8365f18d3d3caf92160dcdd0d7f</x:v>
      </x:c>
      <x:c r="X66" s="17" t="str">
        <x:v>SKU no publicado; se conserva una identidad técnica estable.</x:v>
      </x:c>
    </x:row>
    <x:row r="67" ht="34" customHeight="1">
      <x:c r="A67" s="17" t="str">
        <x:v>IDÉLIKA</x:v>
      </x:c>
      <x:c r="B67" s="17" t="str">
        <x:v>Fabricacion</x:v>
      </x:c>
      <x:c r="C67" s="17" t="str">
        <x:v>1 CATALOGO FABRICACION 2026B.pdf</x:v>
      </x:c>
      <x:c r="D67" s="21" t="n">
        <x:v>28</x:v>
      </x:c>
      <x:c r="E67" s="17" t="str">
        <x:v>idelika:fabricacion:sin-sku:d97213c3d9cd2e67cc7d</x:v>
      </x:c>
      <x:c r="F67" s="17"/>
      <x:c r="G67" s="22" t="str">
        <x:v>por_verificar</x:v>
      </x:c>
      <x:c r="H67" s="17" t="str">
        <x:v>Sillón Castor</x:v>
      </x:c>
      <x:c r="I67" s="17"/>
      <x:c r="J67" s="17"/>
      <x:c r="K67" s="17" t="str">
        <x:v>Madera de parota o teka cuerda Y Loneta 100% exterior</x:v>
      </x:c>
      <x:c r="L67" s="17" t="str">
        <x:v>75*80*70</x:v>
      </x:c>
      <x:c r="M67" s="17" t="str">
        <x:v>Madera de parota o teka cuerda Y Loneta 100% exterior 75*80*70</x:v>
      </x:c>
      <x:c r="N67" s="22" t="str">
        <x:v>pieza</x:v>
      </x:c>
      <x:c r="O67" s="23" t="n">
        <x:v>13990</x:v>
      </x:c>
      <x:c r="P67" s="23" t="n">
        <x:v>15990</x:v>
      </x:c>
      <x:c r="Q67" s="17" t="str">
        <x:v>$15,990 – $13,990</x:v>
      </x:c>
      <x:c r="R67" s="22" t="str">
        <x:v>confirmado</x:v>
      </x:c>
      <x:c r="S67" s="22" t="str">
        <x:v>Sí</x:v>
      </x:c>
      <x:c r="T67" s="24"/>
      <x:c r="U67" s="17" t="str">
        <x:v>https://graph.microsoft.com/v1.0/me/drive/items/01DHXXN7YJMCJUVPBWNJEJPJIH7B4OTAUR#page=28</x:v>
      </x:c>
      <x:c r="V67" s="17" t="str">
        <x:v>https://graph.microsoft.com/v1.0/me/drive/items/01DHXXN7YJMCJUVPBWNJEJPJIH7B4OTAUR</x:v>
      </x:c>
      <x:c r="W67" s="17" t="str">
        <x:v>d97213c3d9cd2e67cc7db1052fa6ce4ae5ab442170f84f8272d338fbf21ac2eb</x:v>
      </x:c>
      <x:c r="X67" s="17" t="str">
        <x:v>SKU no publicado; se conserva una identidad técnica estable.</x:v>
      </x:c>
    </x:row>
    <x:row r="68" ht="34" customHeight="1">
      <x:c r="A68" s="17" t="str">
        <x:v>IDÉLIKA</x:v>
      </x:c>
      <x:c r="B68" s="17" t="str">
        <x:v>Fabricacion</x:v>
      </x:c>
      <x:c r="C68" s="17" t="str">
        <x:v>1 CATALOGO FABRICACION 2026B.pdf</x:v>
      </x:c>
      <x:c r="D68" s="21" t="n">
        <x:v>29</x:v>
      </x:c>
      <x:c r="E68" s="17" t="str">
        <x:v>idelika:fabricacion:sin-sku:283ef0eec4b94c8980f7</x:v>
      </x:c>
      <x:c r="F68" s="17"/>
      <x:c r="G68" s="22" t="str">
        <x:v>por_verificar</x:v>
      </x:c>
      <x:c r="H68" s="17" t="str">
        <x:v>Cama Balinesa</x:v>
      </x:c>
      <x:c r="I68" s="17"/>
      <x:c r="J68" s="17" t="str">
        <x:v>exterior 100%</x:v>
      </x:c>
      <x:c r="K68" s="17" t="str">
        <x:v>Fabricación madera de teka y loneta</x:v>
      </x:c>
      <x:c r="L68" s="17" t="str">
        <x:v>200*200*200</x:v>
      </x:c>
      <x:c r="M68" s="17" t="str">
        <x:v>200*200*200</x:v>
      </x:c>
      <x:c r="N68" s="22" t="str">
        <x:v>pieza</x:v>
      </x:c>
      <x:c r="O68" s="23" t="n">
        <x:v>79990</x:v>
      </x:c>
      <x:c r="P68" s="23" t="n">
        <x:v>89699</x:v>
      </x:c>
      <x:c r="Q68" s="17" t="str">
        <x:v>$89,699 – $79,990 exterior 100%</x:v>
      </x:c>
      <x:c r="R68" s="22" t="str">
        <x:v>confirmado</x:v>
      </x:c>
      <x:c r="S68" s="22" t="str">
        <x:v>Sí</x:v>
      </x:c>
      <x:c r="T68" s="24"/>
      <x:c r="U68" s="17" t="str">
        <x:v>https://graph.microsoft.com/v1.0/me/drive/items/01DHXXN7YJMCJUVPBWNJEJPJIH7B4OTAUR#page=29</x:v>
      </x:c>
      <x:c r="V68" s="17" t="str">
        <x:v>https://graph.microsoft.com/v1.0/me/drive/items/01DHXXN7YJMCJUVPBWNJEJPJIH7B4OTAUR</x:v>
      </x:c>
      <x:c r="W68" s="17" t="str">
        <x:v>283ef0eec4b94c8980f786a655e88e29d5c500d46edab7aa3d420c655787804a</x:v>
      </x:c>
      <x:c r="X68" s="17" t="str">
        <x:v>SKU no publicado; se conserva una identidad técnica estable.</x:v>
      </x:c>
    </x:row>
    <x:row r="69" ht="34" customHeight="1">
      <x:c r="A69" s="17" t="str">
        <x:v>IDÉLIKA</x:v>
      </x:c>
      <x:c r="B69" s="17" t="str">
        <x:v>Fabricacion</x:v>
      </x:c>
      <x:c r="C69" s="17" t="str">
        <x:v>1 CATALOGO FABRICACION 2026B.pdf</x:v>
      </x:c>
      <x:c r="D69" s="21" t="n">
        <x:v>29</x:v>
      </x:c>
      <x:c r="E69" s="17" t="str">
        <x:v>idelika:fabricacion:sin-sku:8626616d62d9d070008f</x:v>
      </x:c>
      <x:c r="F69" s="17"/>
      <x:c r="G69" s="22" t="str">
        <x:v>por_verificar</x:v>
      </x:c>
      <x:c r="H69" s="17" t="str">
        <x:v>Tulum camastro</x:v>
      </x:c>
      <x:c r="I69" s="17"/>
      <x:c r="J69" s="17" t="str">
        <x:v>exterior 100%</x:v>
      </x:c>
      <x:c r="K69" s="17" t="str">
        <x:v>Fabricación acero galvanizado y cuerda textilene</x:v>
      </x:c>
      <x:c r="L69" s="17" t="str">
        <x:v>70*180*86</x:v>
      </x:c>
      <x:c r="M69" s="17" t="str">
        <x:v>70*180*86</x:v>
      </x:c>
      <x:c r="N69" s="22" t="str">
        <x:v>pieza</x:v>
      </x:c>
      <x:c r="O69" s="23" t="n">
        <x:v>9990</x:v>
      </x:c>
      <x:c r="P69" s="23" t="n">
        <x:v>11990</x:v>
      </x:c>
      <x:c r="Q69" s="17" t="str">
        <x:v>$11,990 – $9,990 exterior 100%</x:v>
      </x:c>
      <x:c r="R69" s="22" t="str">
        <x:v>confirmado</x:v>
      </x:c>
      <x:c r="S69" s="22" t="str">
        <x:v>Sí</x:v>
      </x:c>
      <x:c r="T69" s="24"/>
      <x:c r="U69" s="17" t="str">
        <x:v>https://graph.microsoft.com/v1.0/me/drive/items/01DHXXN7YJMCJUVPBWNJEJPJIH7B4OTAUR#page=29</x:v>
      </x:c>
      <x:c r="V69" s="17" t="str">
        <x:v>https://graph.microsoft.com/v1.0/me/drive/items/01DHXXN7YJMCJUVPBWNJEJPJIH7B4OTAUR</x:v>
      </x:c>
      <x:c r="W69" s="17" t="str">
        <x:v>8626616d62d9d070008fedcca33ae7561393d044bb667c7bf744b45b2bbef9f1</x:v>
      </x:c>
      <x:c r="X69" s="17" t="str">
        <x:v>SKU no publicado; se conserva una identidad técnica estable.</x:v>
      </x:c>
    </x:row>
    <x:row r="70" ht="34" customHeight="1">
      <x:c r="A70" s="17" t="str">
        <x:v>IDÉLIKA</x:v>
      </x:c>
      <x:c r="B70" s="17" t="str">
        <x:v>Fabricacion</x:v>
      </x:c>
      <x:c r="C70" s="17" t="str">
        <x:v>1 CATALOGO FABRICACION 2026B.pdf</x:v>
      </x:c>
      <x:c r="D70" s="21" t="n">
        <x:v>30</x:v>
      </x:c>
      <x:c r="E70" s="17" t="str">
        <x:v>idelika:fabricacion:sin-sku:bb0c6183f9826f21321e</x:v>
      </x:c>
      <x:c r="F70" s="17"/>
      <x:c r="G70" s="22" t="str">
        <x:v>por_verificar</x:v>
      </x:c>
      <x:c r="H70" s="17" t="str">
        <x:v>Cabo Sillón</x:v>
      </x:c>
      <x:c r="I70" s="17" t="str">
        <x:v>Zapotlán</x:v>
      </x:c>
      <x:c r="J70" s="17"/>
      <x:c r="K70" s="17" t="str">
        <x:v>Acero con pintura Y cuerda de Polipropileno Acero con pintura electroestática , cuerda de</x:v>
      </x:c>
      <x:c r="L70" s="17" t="str">
        <x:v>90*79*94</x:v>
      </x:c>
      <x:c r="M70" s="17" t="str">
        <x:v>Acero con pintura Electroestática Y cuerda de Multifilamento de Polipropileno Uso exterior techado 90*79*94 No incluye cojinería (opción galvanizada 100% exterior) Variante Monte Alban Zapotlán Love 160*82*95 alto Acero con pintura electroestática , cuerda de multifilamento y tela Acero galvanizado con pintura electroestática cuerda textilene y loneta de exterior</x:v>
      </x:c>
      <x:c r="N70" s="22" t="str">
        <x:v>pieza</x:v>
      </x:c>
      <x:c r="O70" s="23" t="n">
        <x:v>12990</x:v>
      </x:c>
      <x:c r="P70" s="23" t="n">
        <x:v>14990</x:v>
      </x:c>
      <x:c r="Q70" s="17" t="str">
        <x:v>$14,990 – $12,990</x:v>
      </x:c>
      <x:c r="R70" s="22" t="str">
        <x:v>confirmado</x:v>
      </x:c>
      <x:c r="S70" s="22" t="str">
        <x:v>Sí</x:v>
      </x:c>
      <x:c r="T70" s="24"/>
      <x:c r="U70" s="17" t="str">
        <x:v>https://graph.microsoft.com/v1.0/me/drive/items/01DHXXN7YJMCJUVPBWNJEJPJIH7B4OTAUR#page=30</x:v>
      </x:c>
      <x:c r="V70" s="17" t="str">
        <x:v>https://graph.microsoft.com/v1.0/me/drive/items/01DHXXN7YJMCJUVPBWNJEJPJIH7B4OTAUR</x:v>
      </x:c>
      <x:c r="W70" s="17" t="str">
        <x:v>bb0c6183f9826f21321e5a9ddced4a209c989a5727c4a50cec9f1bb492f98a42</x:v>
      </x:c>
      <x:c r="X70" s="17" t="str">
        <x:v>SKU no publicado; se conserva una identidad técnica estable.</x:v>
      </x:c>
    </x:row>
    <x:row r="71" ht="34" customHeight="1">
      <x:c r="A71" s="17" t="str">
        <x:v>IDÉLIKA</x:v>
      </x:c>
      <x:c r="B71" s="17" t="str">
        <x:v>Fabricacion</x:v>
      </x:c>
      <x:c r="C71" s="17" t="str">
        <x:v>1 CATALOGO FABRICACION 2026B.pdf</x:v>
      </x:c>
      <x:c r="D71" s="21" t="n">
        <x:v>30</x:v>
      </x:c>
      <x:c r="E71" s="17" t="str">
        <x:v>idelika:fabricacion:sin-sku:ff4ebd33647d11da1654</x:v>
      </x:c>
      <x:c r="F71" s="17"/>
      <x:c r="G71" s="22" t="str">
        <x:v>por_verificar</x:v>
      </x:c>
      <x:c r="H71" s="17" t="str">
        <x:v>Cabo Sillón</x:v>
      </x:c>
      <x:c r="I71" s="17" t="str">
        <x:v>Zapotlán</x:v>
      </x:c>
      <x:c r="J71" s="17" t="str">
        <x:v>exterior techado</x:v>
      </x:c>
      <x:c r="K71" s="17" t="str">
        <x:v>Acero con pintura Y cuerda de Polipropileno Acero con pintura electroestática , cuerda de</x:v>
      </x:c>
      <x:c r="L71" s="17" t="str">
        <x:v>160*82*95 alto</x:v>
      </x:c>
      <x:c r="M71" s="17" t="str">
        <x:v>Acero con pintura Electroestática Y cuerda de Multifilamento de Polipropileno Uso exterior techado 90*79*94 No incluye cojinería (opción galvanizada 100% exterior) Variante Monte Alban Zapotlán Love 160*82*95 alto Acero con pintura electroestática , cuerda de multifilamento y tela Acero galvanizado con pintura electroestática cuerda textilene y loneta de exterior</x:v>
      </x:c>
      <x:c r="N71" s="22" t="str">
        <x:v>pieza</x:v>
      </x:c>
      <x:c r="O71" s="23" t="n">
        <x:v>11990</x:v>
      </x:c>
      <x:c r="P71" s="23" t="n">
        <x:v>13990</x:v>
      </x:c>
      <x:c r="Q71" s="17" t="str">
        <x:v>$13,990 – $11,990 exterior techado</x:v>
      </x:c>
      <x:c r="R71" s="22" t="str">
        <x:v>confirmado</x:v>
      </x:c>
      <x:c r="S71" s="22" t="str">
        <x:v>Sí</x:v>
      </x:c>
      <x:c r="T71" s="24"/>
      <x:c r="U71" s="17" t="str">
        <x:v>https://graph.microsoft.com/v1.0/me/drive/items/01DHXXN7YJMCJUVPBWNJEJPJIH7B4OTAUR#page=30</x:v>
      </x:c>
      <x:c r="V71" s="17" t="str">
        <x:v>https://graph.microsoft.com/v1.0/me/drive/items/01DHXXN7YJMCJUVPBWNJEJPJIH7B4OTAUR</x:v>
      </x:c>
      <x:c r="W71" s="17" t="str">
        <x:v>ff4ebd33647d11da1654aa5dc77343721ef1ff02ce58adb17346e6563be17e24</x:v>
      </x:c>
      <x:c r="X71" s="17" t="str">
        <x:v>SKU no publicado; se conserva una identidad técnica estable.</x:v>
      </x:c>
    </x:row>
    <x:row r="72" ht="34" customHeight="1">
      <x:c r="A72" s="17" t="str">
        <x:v>IDÉLIKA</x:v>
      </x:c>
      <x:c r="B72" s="17" t="str">
        <x:v>Fabricacion</x:v>
      </x:c>
      <x:c r="C72" s="17" t="str">
        <x:v>1 CATALOGO FABRICACION 2026B.pdf</x:v>
      </x:c>
      <x:c r="D72" s="21" t="n">
        <x:v>30</x:v>
      </x:c>
      <x:c r="E72" s="17" t="str">
        <x:v>idelika:fabricacion:sin-sku:9386dd57a679b2a6fab7</x:v>
      </x:c>
      <x:c r="F72" s="17"/>
      <x:c r="G72" s="22" t="str">
        <x:v>por_verificar</x:v>
      </x:c>
      <x:c r="H72" s="17" t="str">
        <x:v>Cabo Sillón</x:v>
      </x:c>
      <x:c r="I72" s="17" t="str">
        <x:v>Zapotlán</x:v>
      </x:c>
      <x:c r="J72" s="17" t="str">
        <x:v>exterior 100%</x:v>
      </x:c>
      <x:c r="K72" s="17" t="str">
        <x:v>Acero con pintura Y cuerda de Polipropileno Acero con pintura electroestática , cuerda de</x:v>
      </x:c>
      <x:c r="L72" s="17"/>
      <x:c r="M72" s="17" t="str">
        <x:v>Acero con pintura Electroestática Y cuerda de Multifilamento de Polipropileno Uso exterior techado 90*79*94 No incluye cojinería (opción galvanizada 100% exterior) Variante Monte Alban Zapotlán Love 160*82*95 alto Acero con pintura electroestática , cuerda de multifilamento y tela Acero galvanizado con pintura electroestática cuerda textilene y loneta de exterior</x:v>
      </x:c>
      <x:c r="N72" s="22" t="str">
        <x:v>pieza</x:v>
      </x:c>
      <x:c r="O72" s="23" t="n">
        <x:v>13990</x:v>
      </x:c>
      <x:c r="P72" s="23" t="n">
        <x:v>16990</x:v>
      </x:c>
      <x:c r="Q72" s="17" t="str">
        <x:v>$16,990 – $13,990 exterior 100%</x:v>
      </x:c>
      <x:c r="R72" s="22" t="str">
        <x:v>confirmado</x:v>
      </x:c>
      <x:c r="S72" s="22" t="str">
        <x:v>Sí</x:v>
      </x:c>
      <x:c r="T72" s="24"/>
      <x:c r="U72" s="17" t="str">
        <x:v>https://graph.microsoft.com/v1.0/me/drive/items/01DHXXN7YJMCJUVPBWNJEJPJIH7B4OTAUR#page=30</x:v>
      </x:c>
      <x:c r="V72" s="17" t="str">
        <x:v>https://graph.microsoft.com/v1.0/me/drive/items/01DHXXN7YJMCJUVPBWNJEJPJIH7B4OTAUR</x:v>
      </x:c>
      <x:c r="W72" s="17" t="str">
        <x:v>9386dd57a679b2a6fab7619c000643690b3e4a4b886e4ff6b10d3d6c5b081686</x:v>
      </x:c>
      <x:c r="X72" s="17" t="str">
        <x:v>SKU no publicado; se conserva una identidad técnica estable.</x:v>
      </x:c>
    </x:row>
    <x:row r="73" ht="34" customHeight="1">
      <x:c r="A73" s="17" t="str">
        <x:v>IDÉLIKA</x:v>
      </x:c>
      <x:c r="B73" s="17" t="str">
        <x:v>Fabricacion</x:v>
      </x:c>
      <x:c r="C73" s="17" t="str">
        <x:v>1 CATALOGO FABRICACION 2026B.pdf</x:v>
      </x:c>
      <x:c r="D73" s="21" t="n">
        <x:v>30</x:v>
      </x:c>
      <x:c r="E73" s="17" t="str">
        <x:v>idelika:fabricacion:sin-sku:150087fe89ac87f525d7</x:v>
      </x:c>
      <x:c r="F73" s="17"/>
      <x:c r="G73" s="22" t="str">
        <x:v>por_verificar</x:v>
      </x:c>
      <x:c r="H73" s="17" t="str">
        <x:v>Zapotlán sillón</x:v>
      </x:c>
      <x:c r="I73" s="17" t="str">
        <x:v>Zapotlán</x:v>
      </x:c>
      <x:c r="J73" s="17" t="str">
        <x:v>exterior techado</x:v>
      </x:c>
      <x:c r="K73" s="17" t="str">
        <x:v>Acero con pintura electroestática , cuerda de multifilamento y tela Acero galvanizado con pintura electroestática cuerda textilene y loneta de exterior</x:v>
      </x:c>
      <x:c r="L73" s="17" t="str">
        <x:v>74*60*95 alto</x:v>
      </x:c>
      <x:c r="M73" s="17" t="str">
        <x:v>74*60*95 alto Acero con pintura electroestática , cuerda de multifilamento y tela Acero galvanizado con pintura electroestática cuerda textilene y loneta de exterior</x:v>
      </x:c>
      <x:c r="N73" s="22" t="str">
        <x:v>pieza</x:v>
      </x:c>
      <x:c r="O73" s="23" t="n">
        <x:v>6990</x:v>
      </x:c>
      <x:c r="P73" s="23" t="n">
        <x:v>7990</x:v>
      </x:c>
      <x:c r="Q73" s="17" t="str">
        <x:v>$7,990 – $6,990 exterior techado</x:v>
      </x:c>
      <x:c r="R73" s="22" t="str">
        <x:v>confirmado</x:v>
      </x:c>
      <x:c r="S73" s="22" t="str">
        <x:v>Sí</x:v>
      </x:c>
      <x:c r="T73" s="24"/>
      <x:c r="U73" s="17" t="str">
        <x:v>https://graph.microsoft.com/v1.0/me/drive/items/01DHXXN7YJMCJUVPBWNJEJPJIH7B4OTAUR#page=30</x:v>
      </x:c>
      <x:c r="V73" s="17" t="str">
        <x:v>https://graph.microsoft.com/v1.0/me/drive/items/01DHXXN7YJMCJUVPBWNJEJPJIH7B4OTAUR</x:v>
      </x:c>
      <x:c r="W73" s="17" t="str">
        <x:v>150087fe89ac87f525d74445d441a97e3b3586ab7d209f92d37b468fb3e29dee</x:v>
      </x:c>
      <x:c r="X73" s="17" t="str">
        <x:v>SKU no publicado; se conserva una identidad técnica estable.</x:v>
      </x:c>
    </x:row>
    <x:row r="74" ht="34" customHeight="1">
      <x:c r="A74" s="17" t="str">
        <x:v>IDÉLIKA</x:v>
      </x:c>
      <x:c r="B74" s="17" t="str">
        <x:v>Fabricacion</x:v>
      </x:c>
      <x:c r="C74" s="17" t="str">
        <x:v>1 CATALOGO FABRICACION 2026B.pdf</x:v>
      </x:c>
      <x:c r="D74" s="21" t="n">
        <x:v>30</x:v>
      </x:c>
      <x:c r="E74" s="17" t="str">
        <x:v>idelika:fabricacion:sin-sku:6648b9f581410b6a1dd5</x:v>
      </x:c>
      <x:c r="F74" s="17"/>
      <x:c r="G74" s="22" t="str">
        <x:v>por_verificar</x:v>
      </x:c>
      <x:c r="H74" s="17" t="str">
        <x:v>Zapotlán sillón</x:v>
      </x:c>
      <x:c r="I74" s="17" t="str">
        <x:v>Zapotlán</x:v>
      </x:c>
      <x:c r="J74" s="17" t="str">
        <x:v>exterior 100%</x:v>
      </x:c>
      <x:c r="K74" s="17" t="str">
        <x:v>Acero con pintura electroestática , cuerda de multifilamento y tela Acero galvanizado con pintura electroestática cuerda textilene y loneta de exterior</x:v>
      </x:c>
      <x:c r="L74" s="17"/>
      <x:c r="M74" s="17" t="str">
        <x:v>74*60*95 alto Acero con pintura electroestática , cuerda de multifilamento y tela Acero galvanizado con pintura electroestática cuerda textilene y loneta de exterior</x:v>
      </x:c>
      <x:c r="N74" s="22" t="str">
        <x:v>pieza</x:v>
      </x:c>
      <x:c r="O74" s="23" t="n">
        <x:v>8990</x:v>
      </x:c>
      <x:c r="P74" s="23" t="n">
        <x:v>9990</x:v>
      </x:c>
      <x:c r="Q74" s="17" t="str">
        <x:v>$9,990 – $8,990 exterior 100%</x:v>
      </x:c>
      <x:c r="R74" s="22" t="str">
        <x:v>confirmado</x:v>
      </x:c>
      <x:c r="S74" s="22" t="str">
        <x:v>Sí</x:v>
      </x:c>
      <x:c r="T74" s="24"/>
      <x:c r="U74" s="17" t="str">
        <x:v>https://graph.microsoft.com/v1.0/me/drive/items/01DHXXN7YJMCJUVPBWNJEJPJIH7B4OTAUR#page=30</x:v>
      </x:c>
      <x:c r="V74" s="17" t="str">
        <x:v>https://graph.microsoft.com/v1.0/me/drive/items/01DHXXN7YJMCJUVPBWNJEJPJIH7B4OTAUR</x:v>
      </x:c>
      <x:c r="W74" s="17" t="str">
        <x:v>6648b9f581410b6a1dd59d3ebe9e8a3fbb1b7fc19b6738d857bbd284fe365dd5</x:v>
      </x:c>
      <x:c r="X74" s="17" t="str">
        <x:v>SKU no publicado; se conserva una identidad técnica estable.</x:v>
      </x:c>
    </x:row>
    <x:row r="75" ht="34" customHeight="1">
      <x:c r="A75" s="17" t="str">
        <x:v>IDÉLIKA</x:v>
      </x:c>
      <x:c r="B75" s="17" t="str">
        <x:v>Fabricacion</x:v>
      </x:c>
      <x:c r="C75" s="17" t="str">
        <x:v>1 CATALOGO FABRICACION 2026B.pdf</x:v>
      </x:c>
      <x:c r="D75" s="21" t="n">
        <x:v>30</x:v>
      </x:c>
      <x:c r="E75" s="17" t="str">
        <x:v>idelika:fabricacion:sin-sku:36ad9861220bdfe77756</x:v>
      </x:c>
      <x:c r="F75" s="17"/>
      <x:c r="G75" s="22" t="str">
        <x:v>por_verificar</x:v>
      </x:c>
      <x:c r="H75" s="17" t="str">
        <x:v>Zapotlán sofá</x:v>
      </x:c>
      <x:c r="I75" s="17" t="str">
        <x:v>Zapotlán</x:v>
      </x:c>
      <x:c r="J75" s="17" t="str">
        <x:v>exterior techado</x:v>
      </x:c>
      <x:c r="K75" s="17" t="str">
        <x:v>Acero con pintura electroestática , cuerda de multifilamento y tela Acero galvanizado con pintura electroestática cuerda textilene y loneta de exterior</x:v>
      </x:c>
      <x:c r="L75" s="17" t="str">
        <x:v>190*82*95 alto</x:v>
      </x:c>
      <x:c r="M75" s="17" t="str">
        <x:v>190*82*95 alto Acero con pintura electroestática , cuerda de multifilamento y tela Acero galvanizado con pintura electroestática cuerda textilene y loneta de exterior</x:v>
      </x:c>
      <x:c r="N75" s="22" t="str">
        <x:v>pieza</x:v>
      </x:c>
      <x:c r="O75" s="23" t="n">
        <x:v>14990</x:v>
      </x:c>
      <x:c r="P75" s="23" t="n">
        <x:v>16990</x:v>
      </x:c>
      <x:c r="Q75" s="17" t="str">
        <x:v>$16,990 – $14,990 exterior techado</x:v>
      </x:c>
      <x:c r="R75" s="22" t="str">
        <x:v>confirmado</x:v>
      </x:c>
      <x:c r="S75" s="22" t="str">
        <x:v>Sí</x:v>
      </x:c>
      <x:c r="T75" s="24"/>
      <x:c r="U75" s="17" t="str">
        <x:v>https://graph.microsoft.com/v1.0/me/drive/items/01DHXXN7YJMCJUVPBWNJEJPJIH7B4OTAUR#page=30</x:v>
      </x:c>
      <x:c r="V75" s="17" t="str">
        <x:v>https://graph.microsoft.com/v1.0/me/drive/items/01DHXXN7YJMCJUVPBWNJEJPJIH7B4OTAUR</x:v>
      </x:c>
      <x:c r="W75" s="17" t="str">
        <x:v>36ad9861220bdfe77756e4bebd4b3a9a812b56615ee0ff2065712cf86d65a1fd</x:v>
      </x:c>
      <x:c r="X75" s="17" t="str">
        <x:v>SKU no publicado; se conserva una identidad técnica estable.</x:v>
      </x:c>
    </x:row>
    <x:row r="76" ht="34" customHeight="1">
      <x:c r="A76" s="17" t="str">
        <x:v>IDÉLIKA</x:v>
      </x:c>
      <x:c r="B76" s="17" t="str">
        <x:v>Fabricacion</x:v>
      </x:c>
      <x:c r="C76" s="17" t="str">
        <x:v>1 CATALOGO FABRICACION 2026B.pdf</x:v>
      </x:c>
      <x:c r="D76" s="21" t="n">
        <x:v>30</x:v>
      </x:c>
      <x:c r="E76" s="17" t="str">
        <x:v>idelika:fabricacion:sin-sku:251b016fc0215324393b</x:v>
      </x:c>
      <x:c r="F76" s="17"/>
      <x:c r="G76" s="22" t="str">
        <x:v>por_verificar</x:v>
      </x:c>
      <x:c r="H76" s="17" t="str">
        <x:v>Zapotlán sofá</x:v>
      </x:c>
      <x:c r="I76" s="17" t="str">
        <x:v>Zapotlán</x:v>
      </x:c>
      <x:c r="J76" s="17" t="str">
        <x:v>exterior 100%</x:v>
      </x:c>
      <x:c r="K76" s="17" t="str">
        <x:v>Acero con pintura electroestática , cuerda de multifilamento y tela Acero galvanizado con pintura electroestática cuerda textilene y loneta de exterior</x:v>
      </x:c>
      <x:c r="L76" s="17"/>
      <x:c r="M76" s="17" t="str">
        <x:v>190*82*95 alto Acero con pintura electroestática , cuerda de multifilamento y tela Acero galvanizado con pintura electroestática cuerda textilene y loneta de exterior</x:v>
      </x:c>
      <x:c r="N76" s="22" t="str">
        <x:v>pieza</x:v>
      </x:c>
      <x:c r="O76" s="23" t="n">
        <x:v>19990</x:v>
      </x:c>
      <x:c r="P76" s="23" t="n">
        <x:v>21990</x:v>
      </x:c>
      <x:c r="Q76" s="17" t="str">
        <x:v>$21,990 – $19,990 exterior 100%</x:v>
      </x:c>
      <x:c r="R76" s="22" t="str">
        <x:v>confirmado</x:v>
      </x:c>
      <x:c r="S76" s="22" t="str">
        <x:v>Sí</x:v>
      </x:c>
      <x:c r="T76" s="24"/>
      <x:c r="U76" s="17" t="str">
        <x:v>https://graph.microsoft.com/v1.0/me/drive/items/01DHXXN7YJMCJUVPBWNJEJPJIH7B4OTAUR#page=30</x:v>
      </x:c>
      <x:c r="V76" s="17" t="str">
        <x:v>https://graph.microsoft.com/v1.0/me/drive/items/01DHXXN7YJMCJUVPBWNJEJPJIH7B4OTAUR</x:v>
      </x:c>
      <x:c r="W76" s="17" t="str">
        <x:v>251b016fc0215324393bf88684b47fdb9f87e81fd2f2a6e189624147bb625ae1</x:v>
      </x:c>
      <x:c r="X76" s="17" t="str">
        <x:v>SKU no publicado; se conserva una identidad técnica estable.</x:v>
      </x:c>
    </x:row>
    <x:row r="77" ht="34" customHeight="1">
      <x:c r="A77" s="17" t="str">
        <x:v>IDÉLIKA</x:v>
      </x:c>
      <x:c r="B77" s="17" t="str">
        <x:v>Fabricacion</x:v>
      </x:c>
      <x:c r="C77" s="17" t="str">
        <x:v>1 CATALOGO FABRICACION 2026B.pdf</x:v>
      </x:c>
      <x:c r="D77" s="21" t="n">
        <x:v>31</x:v>
      </x:c>
      <x:c r="E77" s="17" t="str">
        <x:v>idelika:fabricacion:sin-sku:f1cab09068b14b51a5f0</x:v>
      </x:c>
      <x:c r="F77" s="17"/>
      <x:c r="G77" s="22" t="str">
        <x:v>por_verificar</x:v>
      </x:c>
      <x:c r="H77" s="17" t="str">
        <x:v>Colección Chetumal Chetumal Love</x:v>
      </x:c>
      <x:c r="I77" s="17" t="str">
        <x:v>Chetumal</x:v>
      </x:c>
      <x:c r="J77" s="17" t="str">
        <x:v>exterior techado</x:v>
      </x:c>
      <x:c r="K77" s="17" t="str">
        <x:v>Acero con pintura electroestática , cuerda de multifilamento y tela Acero galvanizado con pintura electroestática cuerda textilene y loneta de exterior</x:v>
      </x:c>
      <x:c r="L77" s="17" t="str">
        <x:v>160*78*81 alto</x:v>
      </x:c>
      <x:c r="M77" s="17" t="str">
        <x:v>160*78*81 alto Acero con pintura electroestática , cuerda de multifilamento y tela Acero galvanizado con pintura electroestática cuerda textilene y loneta de exterior</x:v>
      </x:c>
      <x:c r="N77" s="22" t="str">
        <x:v>pieza</x:v>
      </x:c>
      <x:c r="O77" s="23" t="n">
        <x:v>11990</x:v>
      </x:c>
      <x:c r="P77" s="23" t="n">
        <x:v>13990</x:v>
      </x:c>
      <x:c r="Q77" s="17" t="str">
        <x:v>$13,990 – $11,990 exterior techado</x:v>
      </x:c>
      <x:c r="R77" s="22" t="str">
        <x:v>confirmado</x:v>
      </x:c>
      <x:c r="S77" s="22" t="str">
        <x:v>Sí</x:v>
      </x:c>
      <x:c r="T77" s="24"/>
      <x:c r="U77" s="17" t="str">
        <x:v>https://graph.microsoft.com/v1.0/me/drive/items/01DHXXN7YJMCJUVPBWNJEJPJIH7B4OTAUR#page=31</x:v>
      </x:c>
      <x:c r="V77" s="17" t="str">
        <x:v>https://graph.microsoft.com/v1.0/me/drive/items/01DHXXN7YJMCJUVPBWNJEJPJIH7B4OTAUR</x:v>
      </x:c>
      <x:c r="W77" s="17" t="str">
        <x:v>f1cab09068b14b51a5f0725fadc250e15bb005dc05d162f45c263a75e685470f</x:v>
      </x:c>
      <x:c r="X77" s="17" t="str">
        <x:v>SKU no publicado; se conserva una identidad técnica estable.</x:v>
      </x:c>
    </x:row>
    <x:row r="78" ht="34" customHeight="1">
      <x:c r="A78" s="17" t="str">
        <x:v>IDÉLIKA</x:v>
      </x:c>
      <x:c r="B78" s="17" t="str">
        <x:v>Fabricacion</x:v>
      </x:c>
      <x:c r="C78" s="17" t="str">
        <x:v>1 CATALOGO FABRICACION 2026B.pdf</x:v>
      </x:c>
      <x:c r="D78" s="21" t="n">
        <x:v>31</x:v>
      </x:c>
      <x:c r="E78" s="17" t="str">
        <x:v>idelika:fabricacion:sin-sku:529e5739421555f22142</x:v>
      </x:c>
      <x:c r="F78" s="17"/>
      <x:c r="G78" s="22" t="str">
        <x:v>por_verificar</x:v>
      </x:c>
      <x:c r="H78" s="17" t="str">
        <x:v>Colección Chetumal Chetumal Love</x:v>
      </x:c>
      <x:c r="I78" s="17" t="str">
        <x:v>Chetumal</x:v>
      </x:c>
      <x:c r="J78" s="17" t="str">
        <x:v>exterior 100%</x:v>
      </x:c>
      <x:c r="K78" s="17" t="str">
        <x:v>Acero con pintura electroestática , cuerda de multifilamento y tela Acero galvanizado con pintura electroestática cuerda textilene y loneta de exterior</x:v>
      </x:c>
      <x:c r="L78" s="17"/>
      <x:c r="M78" s="17" t="str">
        <x:v>160*78*81 alto Acero con pintura electroestática , cuerda de multifilamento y tela Acero galvanizado con pintura electroestática cuerda textilene y loneta de exterior</x:v>
      </x:c>
      <x:c r="N78" s="22" t="str">
        <x:v>pieza</x:v>
      </x:c>
      <x:c r="O78" s="23" t="n">
        <x:v>14990</x:v>
      </x:c>
      <x:c r="P78" s="23" t="n">
        <x:v>17990</x:v>
      </x:c>
      <x:c r="Q78" s="17" t="str">
        <x:v>$17,990 – $14,990 exterior 100%</x:v>
      </x:c>
      <x:c r="R78" s="22" t="str">
        <x:v>confirmado</x:v>
      </x:c>
      <x:c r="S78" s="22" t="str">
        <x:v>Sí</x:v>
      </x:c>
      <x:c r="T78" s="24"/>
      <x:c r="U78" s="17" t="str">
        <x:v>https://graph.microsoft.com/v1.0/me/drive/items/01DHXXN7YJMCJUVPBWNJEJPJIH7B4OTAUR#page=31</x:v>
      </x:c>
      <x:c r="V78" s="17" t="str">
        <x:v>https://graph.microsoft.com/v1.0/me/drive/items/01DHXXN7YJMCJUVPBWNJEJPJIH7B4OTAUR</x:v>
      </x:c>
      <x:c r="W78" s="17" t="str">
        <x:v>529e5739421555f2214292edec18aa09529e09e29c043c29cce10358a4817cda</x:v>
      </x:c>
      <x:c r="X78" s="17" t="str">
        <x:v>SKU no publicado; se conserva una identidad técnica estable.</x:v>
      </x:c>
    </x:row>
    <x:row r="79" ht="34" customHeight="1">
      <x:c r="A79" s="17" t="str">
        <x:v>IDÉLIKA</x:v>
      </x:c>
      <x:c r="B79" s="17" t="str">
        <x:v>Fabricacion</x:v>
      </x:c>
      <x:c r="C79" s="17" t="str">
        <x:v>1 CATALOGO FABRICACION 2026B.pdf</x:v>
      </x:c>
      <x:c r="D79" s="21" t="n">
        <x:v>31</x:v>
      </x:c>
      <x:c r="E79" s="17" t="str">
        <x:v>idelika:fabricacion:sin-sku:b092205477ad15fab077</x:v>
      </x:c>
      <x:c r="F79" s="17"/>
      <x:c r="G79" s="22" t="str">
        <x:v>por_verificar</x:v>
      </x:c>
      <x:c r="H79" s="17" t="str">
        <x:v>Chetumal sillón</x:v>
      </x:c>
      <x:c r="I79" s="17" t="str">
        <x:v>Chetumal</x:v>
      </x:c>
      <x:c r="J79" s="17" t="str">
        <x:v>exterior techado</x:v>
      </x:c>
      <x:c r="K79" s="17" t="str">
        <x:v>Acero con pintura electroestática , cuerda de multifilamento y tela Acero galvanizado con pintura electroestática cuerda textilene y loneta de exterior</x:v>
      </x:c>
      <x:c r="L79" s="17" t="str">
        <x:v>90*78*81 alto</x:v>
      </x:c>
      <x:c r="M79" s="17" t="str">
        <x:v>90*78*81 alto Acero con pintura electroestática , cuerda de multifilamento y tela Acero galvanizado con pintura electroestática cuerda textilene y loneta de exterior</x:v>
      </x:c>
      <x:c r="N79" s="22" t="str">
        <x:v>pieza</x:v>
      </x:c>
      <x:c r="O79" s="23" t="n">
        <x:v>6990</x:v>
      </x:c>
      <x:c r="P79" s="23" t="n">
        <x:v>7990</x:v>
      </x:c>
      <x:c r="Q79" s="17" t="str">
        <x:v>$7,990 – $6,990 exterior techado</x:v>
      </x:c>
      <x:c r="R79" s="22" t="str">
        <x:v>confirmado</x:v>
      </x:c>
      <x:c r="S79" s="22" t="str">
        <x:v>Sí</x:v>
      </x:c>
      <x:c r="T79" s="24"/>
      <x:c r="U79" s="17" t="str">
        <x:v>https://graph.microsoft.com/v1.0/me/drive/items/01DHXXN7YJMCJUVPBWNJEJPJIH7B4OTAUR#page=31</x:v>
      </x:c>
      <x:c r="V79" s="17" t="str">
        <x:v>https://graph.microsoft.com/v1.0/me/drive/items/01DHXXN7YJMCJUVPBWNJEJPJIH7B4OTAUR</x:v>
      </x:c>
      <x:c r="W79" s="17" t="str">
        <x:v>b092205477ad15fab077051b1a65c6b44141acdbc735dc15b0013487db265653</x:v>
      </x:c>
      <x:c r="X79" s="17" t="str">
        <x:v>SKU no publicado; se conserva una identidad técnica estable.</x:v>
      </x:c>
    </x:row>
    <x:row r="80" ht="34" customHeight="1">
      <x:c r="A80" s="17" t="str">
        <x:v>IDÉLIKA</x:v>
      </x:c>
      <x:c r="B80" s="17" t="str">
        <x:v>Fabricacion</x:v>
      </x:c>
      <x:c r="C80" s="17" t="str">
        <x:v>1 CATALOGO FABRICACION 2026B.pdf</x:v>
      </x:c>
      <x:c r="D80" s="21" t="n">
        <x:v>31</x:v>
      </x:c>
      <x:c r="E80" s="17" t="str">
        <x:v>idelika:fabricacion:sin-sku:210dc6776143c60a9f92</x:v>
      </x:c>
      <x:c r="F80" s="17"/>
      <x:c r="G80" s="22" t="str">
        <x:v>por_verificar</x:v>
      </x:c>
      <x:c r="H80" s="17" t="str">
        <x:v>Chetumal sillón</x:v>
      </x:c>
      <x:c r="I80" s="17" t="str">
        <x:v>Chetumal</x:v>
      </x:c>
      <x:c r="J80" s="17" t="str">
        <x:v>exterior 100%</x:v>
      </x:c>
      <x:c r="K80" s="17" t="str">
        <x:v>Acero con pintura electroestática , cuerda de multifilamento y tela Acero galvanizado con pintura electroestática cuerda textilene y loneta de exterior</x:v>
      </x:c>
      <x:c r="L80" s="17"/>
      <x:c r="M80" s="17" t="str">
        <x:v>90*78*81 alto Acero con pintura electroestática , cuerda de multifilamento y tela Acero galvanizado con pintura electroestática cuerda textilene y loneta de exterior</x:v>
      </x:c>
      <x:c r="N80" s="22" t="str">
        <x:v>pieza</x:v>
      </x:c>
      <x:c r="O80" s="23" t="n">
        <x:v>8990</x:v>
      </x:c>
      <x:c r="P80" s="23" t="n">
        <x:v>9990</x:v>
      </x:c>
      <x:c r="Q80" s="17" t="str">
        <x:v>$9,990 – $8,990 exterior 100%</x:v>
      </x:c>
      <x:c r="R80" s="22" t="str">
        <x:v>confirmado</x:v>
      </x:c>
      <x:c r="S80" s="22" t="str">
        <x:v>Sí</x:v>
      </x:c>
      <x:c r="T80" s="24"/>
      <x:c r="U80" s="17" t="str">
        <x:v>https://graph.microsoft.com/v1.0/me/drive/items/01DHXXN7YJMCJUVPBWNJEJPJIH7B4OTAUR#page=31</x:v>
      </x:c>
      <x:c r="V80" s="17" t="str">
        <x:v>https://graph.microsoft.com/v1.0/me/drive/items/01DHXXN7YJMCJUVPBWNJEJPJIH7B4OTAUR</x:v>
      </x:c>
      <x:c r="W80" s="17" t="str">
        <x:v>210dc6776143c60a9f921d721252269fcf11229ae4a5d9c91f585a5a13f7955f</x:v>
      </x:c>
      <x:c r="X80" s="17" t="str">
        <x:v>SKU no publicado; se conserva una identidad técnica estable.</x:v>
      </x:c>
    </x:row>
    <x:row r="81" ht="34" customHeight="1">
      <x:c r="A81" s="17" t="str">
        <x:v>IDÉLIKA</x:v>
      </x:c>
      <x:c r="B81" s="17" t="str">
        <x:v>Fabricacion</x:v>
      </x:c>
      <x:c r="C81" s="17" t="str">
        <x:v>1 CATALOGO FABRICACION 2026B.pdf</x:v>
      </x:c>
      <x:c r="D81" s="21" t="n">
        <x:v>31</x:v>
      </x:c>
      <x:c r="E81" s="17" t="str">
        <x:v>idelika:fabricacion:sin-sku:f61b58726e0b22664afe</x:v>
      </x:c>
      <x:c r="F81" s="17"/>
      <x:c r="G81" s="22" t="str">
        <x:v>por_verificar</x:v>
      </x:c>
      <x:c r="H81" s="17" t="str">
        <x:v>Chetumal Sofá</x:v>
      </x:c>
      <x:c r="I81" s="17" t="str">
        <x:v>Chetumal</x:v>
      </x:c>
      <x:c r="J81" s="17" t="str">
        <x:v>exterior techado</x:v>
      </x:c>
      <x:c r="K81" s="17" t="str">
        <x:v>Acero con pintura electroestática , cuerda de multifilamento y tela Acero galvanizado con pintura electroestática cuerda textilene y loneta de exterior</x:v>
      </x:c>
      <x:c r="L81" s="17" t="str">
        <x:v>190*78*81 alto</x:v>
      </x:c>
      <x:c r="M81" s="17" t="str">
        <x:v>190*78*81 alto Acero con pintura electroestática , cuerda de multifilamento y tela Acero galvanizado con pintura electroestática cuerda textilene y loneta de exterior</x:v>
      </x:c>
      <x:c r="N81" s="22" t="str">
        <x:v>pieza</x:v>
      </x:c>
      <x:c r="O81" s="23" t="n">
        <x:v>15990</x:v>
      </x:c>
      <x:c r="P81" s="23" t="n">
        <x:v>17990</x:v>
      </x:c>
      <x:c r="Q81" s="17" t="str">
        <x:v>$17,990 – $15,990 exterior techado</x:v>
      </x:c>
      <x:c r="R81" s="22" t="str">
        <x:v>confirmado</x:v>
      </x:c>
      <x:c r="S81" s="22" t="str">
        <x:v>Sí</x:v>
      </x:c>
      <x:c r="T81" s="24"/>
      <x:c r="U81" s="17" t="str">
        <x:v>https://graph.microsoft.com/v1.0/me/drive/items/01DHXXN7YJMCJUVPBWNJEJPJIH7B4OTAUR#page=31</x:v>
      </x:c>
      <x:c r="V81" s="17" t="str">
        <x:v>https://graph.microsoft.com/v1.0/me/drive/items/01DHXXN7YJMCJUVPBWNJEJPJIH7B4OTAUR</x:v>
      </x:c>
      <x:c r="W81" s="17" t="str">
        <x:v>f61b58726e0b22664afe7c9088e2c30eee21547b2f2cc9cb4f9275e4241551a6</x:v>
      </x:c>
      <x:c r="X81" s="17" t="str">
        <x:v>SKU no publicado; se conserva una identidad técnica estable.</x:v>
      </x:c>
    </x:row>
    <x:row r="82" ht="34" customHeight="1">
      <x:c r="A82" s="17" t="str">
        <x:v>IDÉLIKA</x:v>
      </x:c>
      <x:c r="B82" s="17" t="str">
        <x:v>Fabricacion</x:v>
      </x:c>
      <x:c r="C82" s="17" t="str">
        <x:v>1 CATALOGO FABRICACION 2026B.pdf</x:v>
      </x:c>
      <x:c r="D82" s="21" t="n">
        <x:v>31</x:v>
      </x:c>
      <x:c r="E82" s="17" t="str">
        <x:v>idelika:fabricacion:sin-sku:bfc1b6a1c44f1d73d000</x:v>
      </x:c>
      <x:c r="F82" s="17"/>
      <x:c r="G82" s="22" t="str">
        <x:v>por_verificar</x:v>
      </x:c>
      <x:c r="H82" s="17" t="str">
        <x:v>Chetumal Sofá</x:v>
      </x:c>
      <x:c r="I82" s="17" t="str">
        <x:v>Chetumal</x:v>
      </x:c>
      <x:c r="J82" s="17" t="str">
        <x:v>exterior 100%</x:v>
      </x:c>
      <x:c r="K82" s="17" t="str">
        <x:v>Acero con pintura electroestática , cuerda de multifilamento y tela Acero galvanizado con pintura electroestática cuerda textilene y loneta de exterior</x:v>
      </x:c>
      <x:c r="L82" s="17"/>
      <x:c r="M82" s="17" t="str">
        <x:v>190*78*81 alto Acero con pintura electroestática , cuerda de multifilamento y tela Acero galvanizado con pintura electroestática cuerda textilene y loneta de exterior</x:v>
      </x:c>
      <x:c r="N82" s="22" t="str">
        <x:v>pieza</x:v>
      </x:c>
      <x:c r="O82" s="23" t="n">
        <x:v>21990</x:v>
      </x:c>
      <x:c r="P82" s="23" t="n">
        <x:v>23990</x:v>
      </x:c>
      <x:c r="Q82" s="17" t="str">
        <x:v>$23,990 – $21,990 exterior 100%</x:v>
      </x:c>
      <x:c r="R82" s="22" t="str">
        <x:v>confirmado</x:v>
      </x:c>
      <x:c r="S82" s="22" t="str">
        <x:v>Sí</x:v>
      </x:c>
      <x:c r="T82" s="24"/>
      <x:c r="U82" s="17" t="str">
        <x:v>https://graph.microsoft.com/v1.0/me/drive/items/01DHXXN7YJMCJUVPBWNJEJPJIH7B4OTAUR#page=31</x:v>
      </x:c>
      <x:c r="V82" s="17" t="str">
        <x:v>https://graph.microsoft.com/v1.0/me/drive/items/01DHXXN7YJMCJUVPBWNJEJPJIH7B4OTAUR</x:v>
      </x:c>
      <x:c r="W82" s="17" t="str">
        <x:v>bfc1b6a1c44f1d73d0007232550e515cccdf79e79b13ff52ce30884ee9245a09</x:v>
      </x:c>
      <x:c r="X82" s="17" t="str">
        <x:v>SKU no publicado; se conserva una identidad técnica estable.</x:v>
      </x:c>
    </x:row>
    <x:row r="83" ht="34" customHeight="1">
      <x:c r="A83" s="17" t="str">
        <x:v>IDÉLIKA</x:v>
      </x:c>
      <x:c r="B83" s="17" t="str">
        <x:v>Fabricacion</x:v>
      </x:c>
      <x:c r="C83" s="17" t="str">
        <x:v>1 CATALOGO FABRICACION 2026B.pdf</x:v>
      </x:c>
      <x:c r="D83" s="21" t="n">
        <x:v>31</x:v>
      </x:c>
      <x:c r="E83" s="17" t="str">
        <x:v>idelika:fabricacion:sin-sku:02d06ead7b18d6e43fb4</x:v>
      </x:c>
      <x:c r="F83" s="17"/>
      <x:c r="G83" s="22" t="str">
        <x:v>por_verificar</x:v>
      </x:c>
      <x:c r="H83" s="17" t="str">
        <x:v>Chetumal banco</x:v>
      </x:c>
      <x:c r="I83" s="17" t="str">
        <x:v>Chetumal</x:v>
      </x:c>
      <x:c r="J83" s="17" t="str">
        <x:v>exterior techado</x:v>
      </x:c>
      <x:c r="K83" s="17" t="str">
        <x:v>Acero con pintura electroestática , cuerda de multifilamento y tela Acero galvanizado con pintura electroestática cuerda textilene y loneta de exterior</x:v>
      </x:c>
      <x:c r="L83" s="17" t="str">
        <x:v>55*55*109 alto</x:v>
      </x:c>
      <x:c r="M83" s="17" t="str">
        <x:v>55*55*109 alto Acero con pintura electroestática , cuerda de multifilamento y tela Acero galvanizado con pintura electroestática cuerda textilene y loneta de exterior</x:v>
      </x:c>
      <x:c r="N83" s="22" t="str">
        <x:v>pieza</x:v>
      </x:c>
      <x:c r="O83" s="23" t="n">
        <x:v>3999</x:v>
      </x:c>
      <x:c r="P83" s="23" t="n">
        <x:v>4499</x:v>
      </x:c>
      <x:c r="Q83" s="17" t="str">
        <x:v>$4,499 – $3,999 exterior techado</x:v>
      </x:c>
      <x:c r="R83" s="22" t="str">
        <x:v>confirmado</x:v>
      </x:c>
      <x:c r="S83" s="22" t="str">
        <x:v>Sí</x:v>
      </x:c>
      <x:c r="T83" s="24"/>
      <x:c r="U83" s="17" t="str">
        <x:v>https://graph.microsoft.com/v1.0/me/drive/items/01DHXXN7YJMCJUVPBWNJEJPJIH7B4OTAUR#page=31</x:v>
      </x:c>
      <x:c r="V83" s="17" t="str">
        <x:v>https://graph.microsoft.com/v1.0/me/drive/items/01DHXXN7YJMCJUVPBWNJEJPJIH7B4OTAUR</x:v>
      </x:c>
      <x:c r="W83" s="17" t="str">
        <x:v>02d06ead7b18d6e43fb47a3a47211b5e22b681e03385d461db57b4432f96c2d4</x:v>
      </x:c>
      <x:c r="X83" s="17" t="str">
        <x:v>SKU no publicado; se conserva una identidad técnica estable.</x:v>
      </x:c>
    </x:row>
    <x:row r="84" ht="34" customHeight="1">
      <x:c r="A84" s="17" t="str">
        <x:v>IDÉLIKA</x:v>
      </x:c>
      <x:c r="B84" s="17" t="str">
        <x:v>Fabricacion</x:v>
      </x:c>
      <x:c r="C84" s="17" t="str">
        <x:v>1 CATALOGO FABRICACION 2026B.pdf</x:v>
      </x:c>
      <x:c r="D84" s="21" t="n">
        <x:v>31</x:v>
      </x:c>
      <x:c r="E84" s="17" t="str">
        <x:v>idelika:fabricacion:sin-sku:d9edacbbeffcdef062de</x:v>
      </x:c>
      <x:c r="F84" s="17"/>
      <x:c r="G84" s="22" t="str">
        <x:v>por_verificar</x:v>
      </x:c>
      <x:c r="H84" s="17" t="str">
        <x:v>Chetumal banco</x:v>
      </x:c>
      <x:c r="I84" s="17" t="str">
        <x:v>Chetumal</x:v>
      </x:c>
      <x:c r="J84" s="17" t="str">
        <x:v>exterior 100%</x:v>
      </x:c>
      <x:c r="K84" s="17" t="str">
        <x:v>Acero con pintura electroestática , cuerda de multifilamento y tela Acero galvanizado con pintura electroestática cuerda textilene y loneta de exterior</x:v>
      </x:c>
      <x:c r="L84" s="17"/>
      <x:c r="M84" s="17" t="str">
        <x:v>55*55*109 alto Acero con pintura electroestática , cuerda de multifilamento y tela Acero galvanizado con pintura electroestática cuerda textilene y loneta de exterior</x:v>
      </x:c>
      <x:c r="N84" s="22" t="str">
        <x:v>pieza</x:v>
      </x:c>
      <x:c r="O84" s="23" t="n">
        <x:v>4799</x:v>
      </x:c>
      <x:c r="P84" s="23" t="n">
        <x:v>4999</x:v>
      </x:c>
      <x:c r="Q84" s="17" t="str">
        <x:v>$4,999 – $4,799 exterior 100%</x:v>
      </x:c>
      <x:c r="R84" s="22" t="str">
        <x:v>confirmado</x:v>
      </x:c>
      <x:c r="S84" s="22" t="str">
        <x:v>Sí</x:v>
      </x:c>
      <x:c r="T84" s="24"/>
      <x:c r="U84" s="17" t="str">
        <x:v>https://graph.microsoft.com/v1.0/me/drive/items/01DHXXN7YJMCJUVPBWNJEJPJIH7B4OTAUR#page=31</x:v>
      </x:c>
      <x:c r="V84" s="17" t="str">
        <x:v>https://graph.microsoft.com/v1.0/me/drive/items/01DHXXN7YJMCJUVPBWNJEJPJIH7B4OTAUR</x:v>
      </x:c>
      <x:c r="W84" s="17" t="str">
        <x:v>d9edacbbeffcdef062de57f6e31668e7a38a5c3ba28050938107ec232e9d5e03</x:v>
      </x:c>
      <x:c r="X84" s="17" t="str">
        <x:v>SKU no publicado; se conserva una identidad técnica estable.</x:v>
      </x:c>
    </x:row>
    <x:row r="85" ht="34" customHeight="1">
      <x:c r="A85" s="17" t="str">
        <x:v>IDÉLIKA</x:v>
      </x:c>
      <x:c r="B85" s="17" t="str">
        <x:v>Fabricacion</x:v>
      </x:c>
      <x:c r="C85" s="17" t="str">
        <x:v>1 CATALOGO FABRICACION 2026B.pdf</x:v>
      </x:c>
      <x:c r="D85" s="21" t="n">
        <x:v>31</x:v>
      </x:c>
      <x:c r="E85" s="17" t="str">
        <x:v>idelika:fabricacion:sin-sku:4a0952b0928e20f2b38d</x:v>
      </x:c>
      <x:c r="F85" s="17"/>
      <x:c r="G85" s="22" t="str">
        <x:v>por_verificar</x:v>
      </x:c>
      <x:c r="H85" s="17" t="str">
        <x:v>Chetumal silla</x:v>
      </x:c>
      <x:c r="I85" s="17" t="str">
        <x:v>Chetumal</x:v>
      </x:c>
      <x:c r="J85" s="17" t="str">
        <x:v>exterior techado</x:v>
      </x:c>
      <x:c r="K85" s="17" t="str">
        <x:v>Acero con pintura electroestática cuerda de multifilamento y tela Acero galvanizado, cuerda textilene y loneta de</x:v>
      </x:c>
      <x:c r="L85" s="17" t="str">
        <x:v>55*55*80 alto</x:v>
      </x:c>
      <x:c r="M85" s="17" t="str">
        <x:v>55*55*80 alto Acero con pintura electroestática cuerda de multifilamento y tela Acero galvanizado, cuerda textilene y loneta de exterior</x:v>
      </x:c>
      <x:c r="N85" s="22" t="str">
        <x:v>pieza</x:v>
      </x:c>
      <x:c r="O85" s="23" t="n">
        <x:v>3799</x:v>
      </x:c>
      <x:c r="P85" s="23" t="n">
        <x:v>3999</x:v>
      </x:c>
      <x:c r="Q85" s="17" t="str">
        <x:v>$3,999 – $3,799 exterior techado</x:v>
      </x:c>
      <x:c r="R85" s="22" t="str">
        <x:v>confirmado</x:v>
      </x:c>
      <x:c r="S85" s="22" t="str">
        <x:v>Sí</x:v>
      </x:c>
      <x:c r="T85" s="24"/>
      <x:c r="U85" s="17" t="str">
        <x:v>https://graph.microsoft.com/v1.0/me/drive/items/01DHXXN7YJMCJUVPBWNJEJPJIH7B4OTAUR#page=31</x:v>
      </x:c>
      <x:c r="V85" s="17" t="str">
        <x:v>https://graph.microsoft.com/v1.0/me/drive/items/01DHXXN7YJMCJUVPBWNJEJPJIH7B4OTAUR</x:v>
      </x:c>
      <x:c r="W85" s="17" t="str">
        <x:v>4a0952b0928e20f2b38d74c25e559a30ebe5fe40c195f27e43453a46de90f8c0</x:v>
      </x:c>
      <x:c r="X85" s="17" t="str">
        <x:v>SKU no publicado; se conserva una identidad técnica estable.</x:v>
      </x:c>
    </x:row>
    <x:row r="86" ht="34" customHeight="1">
      <x:c r="A86" s="17" t="str">
        <x:v>IDÉLIKA</x:v>
      </x:c>
      <x:c r="B86" s="17" t="str">
        <x:v>Fabricacion</x:v>
      </x:c>
      <x:c r="C86" s="17" t="str">
        <x:v>1 CATALOGO FABRICACION 2026B.pdf</x:v>
      </x:c>
      <x:c r="D86" s="21" t="n">
        <x:v>31</x:v>
      </x:c>
      <x:c r="E86" s="17" t="str">
        <x:v>idelika:fabricacion:sin-sku:9b598d2bca3ab552be9c</x:v>
      </x:c>
      <x:c r="F86" s="17"/>
      <x:c r="G86" s="22" t="str">
        <x:v>por_verificar</x:v>
      </x:c>
      <x:c r="H86" s="17" t="str">
        <x:v>Chetumal silla</x:v>
      </x:c>
      <x:c r="I86" s="17" t="str">
        <x:v>Chetumal</x:v>
      </x:c>
      <x:c r="J86" s="17" t="str">
        <x:v>exterior 100%</x:v>
      </x:c>
      <x:c r="K86" s="17" t="str">
        <x:v>Acero con pintura electroestática cuerda de multifilamento y tela Acero galvanizado, cuerda textilene y loneta de</x:v>
      </x:c>
      <x:c r="L86" s="17"/>
      <x:c r="M86" s="17" t="str">
        <x:v>55*55*80 alto Acero con pintura electroestática cuerda de multifilamento y tela Acero galvanizado, cuerda textilene y loneta de exterior</x:v>
      </x:c>
      <x:c r="N86" s="22" t="str">
        <x:v>pieza</x:v>
      </x:c>
      <x:c r="O86" s="23" t="n">
        <x:v>4799</x:v>
      </x:c>
      <x:c r="P86" s="23" t="n">
        <x:v>4990</x:v>
      </x:c>
      <x:c r="Q86" s="17" t="str">
        <x:v>$4,990 – $4,799 exterior 100%</x:v>
      </x:c>
      <x:c r="R86" s="22" t="str">
        <x:v>confirmado</x:v>
      </x:c>
      <x:c r="S86" s="22" t="str">
        <x:v>Sí</x:v>
      </x:c>
      <x:c r="T86" s="24"/>
      <x:c r="U86" s="17" t="str">
        <x:v>https://graph.microsoft.com/v1.0/me/drive/items/01DHXXN7YJMCJUVPBWNJEJPJIH7B4OTAUR#page=31</x:v>
      </x:c>
      <x:c r="V86" s="17" t="str">
        <x:v>https://graph.microsoft.com/v1.0/me/drive/items/01DHXXN7YJMCJUVPBWNJEJPJIH7B4OTAUR</x:v>
      </x:c>
      <x:c r="W86" s="17" t="str">
        <x:v>9b598d2bca3ab552be9c3e7365f3489c97e1357e1ed0b8aab9cd18326f5918c0</x:v>
      </x:c>
      <x:c r="X86" s="17" t="str">
        <x:v>SKU no publicado; se conserva una identidad técnica estable.</x:v>
      </x:c>
    </x:row>
    <x:row r="87" ht="34" customHeight="1">
      <x:c r="A87" s="17" t="str">
        <x:v>IDÉLIKA</x:v>
      </x:c>
      <x:c r="B87" s="17" t="str">
        <x:v>Fabricacion</x:v>
      </x:c>
      <x:c r="C87" s="17" t="str">
        <x:v>1 CATALOGO FABRICACION 2026B.pdf</x:v>
      </x:c>
      <x:c r="D87" s="21" t="n">
        <x:v>32</x:v>
      </x:c>
      <x:c r="E87" s="17" t="str">
        <x:v>idelika:fabricacion:sin-sku:7cf0d4c528f72ad5692d</x:v>
      </x:c>
      <x:c r="F87" s="17"/>
      <x:c r="G87" s="22" t="str">
        <x:v>por_verificar</x:v>
      </x:c>
      <x:c r="H87" s="17" t="str">
        <x:v>Majahuitas Banco</x:v>
      </x:c>
      <x:c r="I87" s="17" t="str">
        <x:v>Majahuitas</x:v>
      </x:c>
      <x:c r="J87" s="17"/>
      <x:c r="K87" s="17" t="str">
        <x:v>Parota y cuerda</x:v>
      </x:c>
      <x:c r="L87" s="17" t="str">
        <x:v>55*58*91</x:v>
      </x:c>
      <x:c r="M87" s="17" t="str">
        <x:v>Parota y cuerda 55*58*91 Cojín curri incluido</x:v>
      </x:c>
      <x:c r="N87" s="22" t="str">
        <x:v>pieza</x:v>
      </x:c>
      <x:c r="O87" s="23" t="n">
        <x:v>8990</x:v>
      </x:c>
      <x:c r="P87" s="23" t="n">
        <x:v>9699</x:v>
      </x:c>
      <x:c r="Q87" s="17" t="str">
        <x:v>$9,699 – $8,990</x:v>
      </x:c>
      <x:c r="R87" s="22" t="str">
        <x:v>confirmado</x:v>
      </x:c>
      <x:c r="S87" s="22" t="str">
        <x:v>Sí</x:v>
      </x:c>
      <x:c r="T87" s="24"/>
      <x:c r="U87" s="17" t="str">
        <x:v>https://graph.microsoft.com/v1.0/me/drive/items/01DHXXN7YJMCJUVPBWNJEJPJIH7B4OTAUR#page=32</x:v>
      </x:c>
      <x:c r="V87" s="17" t="str">
        <x:v>https://graph.microsoft.com/v1.0/me/drive/items/01DHXXN7YJMCJUVPBWNJEJPJIH7B4OTAUR</x:v>
      </x:c>
      <x:c r="W87" s="17" t="str">
        <x:v>7cf0d4c528f72ad5692de760af1a58fe0cfd53dd9c139e6e753649ffe044cd9a</x:v>
      </x:c>
      <x:c r="X87" s="17" t="str">
        <x:v>SKU no publicado; se conserva una identidad técnica estable.</x:v>
      </x:c>
    </x:row>
    <x:row r="88" ht="34" customHeight="1">
      <x:c r="A88" s="17" t="str">
        <x:v>IDÉLIKA</x:v>
      </x:c>
      <x:c r="B88" s="17" t="str">
        <x:v>Fabricacion</x:v>
      </x:c>
      <x:c r="C88" s="17" t="str">
        <x:v>1 CATALOGO FABRICACION 2026B.pdf</x:v>
      </x:c>
      <x:c r="D88" s="21" t="n">
        <x:v>32</x:v>
      </x:c>
      <x:c r="E88" s="17" t="str">
        <x:v>idelika:fabricacion:sin-sku:6b2c32a5b72eef9ead4b</x:v>
      </x:c>
      <x:c r="F88" s="17"/>
      <x:c r="G88" s="22" t="str">
        <x:v>por_verificar</x:v>
      </x:c>
      <x:c r="H88" s="17" t="str">
        <x:v>Mesa Majahuitas</x:v>
      </x:c>
      <x:c r="I88" s="17" t="str">
        <x:v>Majahuitas</x:v>
      </x:c>
      <x:c r="J88" s="17"/>
      <x:c r="K88" s="17" t="str">
        <x:v>Parota y acero</x:v>
      </x:c>
      <x:c r="L88" s="17"/>
      <x:c r="M88" s="17" t="str">
        <x:v>Parota y acero Cualquier medida medida especial largo 2.00 a 2.20</x:v>
      </x:c>
      <x:c r="N88" s="22" t="str">
        <x:v>pieza</x:v>
      </x:c>
      <x:c r="O88" s="23" t="n">
        <x:v>31990</x:v>
      </x:c>
      <x:c r="P88" s="23" t="n">
        <x:v>37699</x:v>
      </x:c>
      <x:c r="Q88" s="17" t="str">
        <x:v>$37,699 – $31,990</x:v>
      </x:c>
      <x:c r="R88" s="22" t="str">
        <x:v>confirmado</x:v>
      </x:c>
      <x:c r="S88" s="22" t="str">
        <x:v>Sí</x:v>
      </x:c>
      <x:c r="T88" s="24"/>
      <x:c r="U88" s="17" t="str">
        <x:v>https://graph.microsoft.com/v1.0/me/drive/items/01DHXXN7YJMCJUVPBWNJEJPJIH7B4OTAUR#page=32</x:v>
      </x:c>
      <x:c r="V88" s="17" t="str">
        <x:v>https://graph.microsoft.com/v1.0/me/drive/items/01DHXXN7YJMCJUVPBWNJEJPJIH7B4OTAUR</x:v>
      </x:c>
      <x:c r="W88" s="17" t="str">
        <x:v>6b2c32a5b72eef9ead4b5f773cc2b40a5cfffa266c3f4a56de412682d0b61557</x:v>
      </x:c>
      <x:c r="X88" s="17" t="str">
        <x:v>SKU no publicado; se conserva una identidad técnica estable.</x:v>
      </x:c>
    </x:row>
    <x:row r="89" ht="34" customHeight="1">
      <x:c r="A89" s="17" t="str">
        <x:v>IDÉLIKA</x:v>
      </x:c>
      <x:c r="B89" s="17" t="str">
        <x:v>Fabricacion</x:v>
      </x:c>
      <x:c r="C89" s="17" t="str">
        <x:v>1 CATALOGO FABRICACION 2026B.pdf</x:v>
      </x:c>
      <x:c r="D89" s="21" t="n">
        <x:v>32</x:v>
      </x:c>
      <x:c r="E89" s="17" t="str">
        <x:v>idelika:fabricacion:sin-sku:b9a8dacac2469e67323a</x:v>
      </x:c>
      <x:c r="F89" s="17"/>
      <x:c r="G89" s="22" t="str">
        <x:v>por_verificar</x:v>
      </x:c>
      <x:c r="H89" s="17" t="str">
        <x:v>Majahuitas Sillón</x:v>
      </x:c>
      <x:c r="I89" s="17" t="str">
        <x:v>Majahuitas</x:v>
      </x:c>
      <x:c r="J89" s="17"/>
      <x:c r="K89" s="17" t="str">
        <x:v>Parota y cuerda</x:v>
      </x:c>
      <x:c r="L89" s="17" t="str">
        <x:v>66*58*70</x:v>
      </x:c>
      <x:c r="M89" s="17" t="str">
        <x:v>Parota y cuerda 66*58*70 Cojín curri incluido Majahuitas</x:v>
      </x:c>
      <x:c r="N89" s="22" t="str">
        <x:v>pieza</x:v>
      </x:c>
      <x:c r="O89" s="23" t="n">
        <x:v>7990</x:v>
      </x:c>
      <x:c r="P89" s="23" t="n">
        <x:v>9990</x:v>
      </x:c>
      <x:c r="Q89" s="17" t="str">
        <x:v>$9,990 – $7,990</x:v>
      </x:c>
      <x:c r="R89" s="22" t="str">
        <x:v>confirmado</x:v>
      </x:c>
      <x:c r="S89" s="22" t="str">
        <x:v>Sí</x:v>
      </x:c>
      <x:c r="T89" s="24"/>
      <x:c r="U89" s="17" t="str">
        <x:v>https://graph.microsoft.com/v1.0/me/drive/items/01DHXXN7YJMCJUVPBWNJEJPJIH7B4OTAUR#page=32</x:v>
      </x:c>
      <x:c r="V89" s="17" t="str">
        <x:v>https://graph.microsoft.com/v1.0/me/drive/items/01DHXXN7YJMCJUVPBWNJEJPJIH7B4OTAUR</x:v>
      </x:c>
      <x:c r="W89" s="17" t="str">
        <x:v>b9a8dacac2469e67323a96ca059354fa25820e94f2fde1d42317f535a54eeedf</x:v>
      </x:c>
      <x:c r="X89" s="17" t="str">
        <x:v>SKU no publicado; se conserva una identidad técnica estable.</x:v>
      </x:c>
    </x:row>
    <x:row r="90" ht="34" customHeight="1">
      <x:c r="A90" s="17" t="str">
        <x:v>IDÉLIKA</x:v>
      </x:c>
      <x:c r="B90" s="17" t="str">
        <x:v>Fabricacion</x:v>
      </x:c>
      <x:c r="C90" s="17" t="str">
        <x:v>1 CATALOGO FABRICACION 2026B.pdf</x:v>
      </x:c>
      <x:c r="D90" s="21" t="n">
        <x:v>33</x:v>
      </x:c>
      <x:c r="E90" s="17" t="str">
        <x:v>idelika:fabricacion:sin-sku:e69b1cd25b7ad557f030</x:v>
      </x:c>
      <x:c r="F90" s="17"/>
      <x:c r="G90" s="22" t="str">
        <x:v>por_verificar</x:v>
      </x:c>
      <x:c r="H90" s="17" t="str">
        <x:v>Majahuitas set</x:v>
      </x:c>
      <x:c r="I90" s="17" t="str">
        <x:v>Majahuitas</x:v>
      </x:c>
      <x:c r="J90" s="17"/>
      <x:c r="K90" s="17" t="str">
        <x:v>Parota y cuerda</x:v>
      </x:c>
      <x:c r="L90" s="17" t="str">
        <x:v>66*58*70 sillón</x:v>
      </x:c>
      <x:c r="M90" s="17" t="str">
        <x:v>Parota y cuerda 66*58*70 sillón 66*170*70 love 66*200*70 sofá 100*60*32 mesa Cojín curri incluido Majahuitas</x:v>
      </x:c>
      <x:c r="N90" s="22" t="str">
        <x:v>pieza</x:v>
      </x:c>
      <x:c r="O90" s="23" t="n">
        <x:v>7990</x:v>
      </x:c>
      <x:c r="P90" s="23" t="n">
        <x:v>9990</x:v>
      </x:c>
      <x:c r="Q90" s="17" t="str">
        <x:v>$9,990 – $7,990</x:v>
      </x:c>
      <x:c r="R90" s="22" t="str">
        <x:v>confirmado</x:v>
      </x:c>
      <x:c r="S90" s="22" t="str">
        <x:v>Sí</x:v>
      </x:c>
      <x:c r="T90" s="24"/>
      <x:c r="U90" s="17" t="str">
        <x:v>https://graph.microsoft.com/v1.0/me/drive/items/01DHXXN7YJMCJUVPBWNJEJPJIH7B4OTAUR#page=33</x:v>
      </x:c>
      <x:c r="V90" s="17" t="str">
        <x:v>https://graph.microsoft.com/v1.0/me/drive/items/01DHXXN7YJMCJUVPBWNJEJPJIH7B4OTAUR</x:v>
      </x:c>
      <x:c r="W90" s="17" t="str">
        <x:v>e69b1cd25b7ad557f0300e223ef09db91e02bd3caf776e4fd6b53eea34529825</x:v>
      </x:c>
      <x:c r="X90" s="17" t="str">
        <x:v>SKU no publicado; se conserva una identidad técnica estable.</x:v>
      </x:c>
    </x:row>
    <x:row r="91" ht="34" customHeight="1">
      <x:c r="A91" s="17" t="str">
        <x:v>IDÉLIKA</x:v>
      </x:c>
      <x:c r="B91" s="17" t="str">
        <x:v>Fabricacion</x:v>
      </x:c>
      <x:c r="C91" s="17" t="str">
        <x:v>1 CATALOGO FABRICACION 2026B.pdf</x:v>
      </x:c>
      <x:c r="D91" s="21" t="n">
        <x:v>33</x:v>
      </x:c>
      <x:c r="E91" s="17" t="str">
        <x:v>idelika:fabricacion:sin-sku:8deac878cdc6e6650c11</x:v>
      </x:c>
      <x:c r="F91" s="17"/>
      <x:c r="G91" s="22" t="str">
        <x:v>por_verificar</x:v>
      </x:c>
      <x:c r="H91" s="17" t="str">
        <x:v>Majahuitas set</x:v>
      </x:c>
      <x:c r="I91" s="17" t="str">
        <x:v>Majahuitas</x:v>
      </x:c>
      <x:c r="J91" s="17"/>
      <x:c r="K91" s="17" t="str">
        <x:v>Parota y cuerda</x:v>
      </x:c>
      <x:c r="L91" s="17" t="str">
        <x:v>66*170*70 love</x:v>
      </x:c>
      <x:c r="M91" s="17" t="str">
        <x:v>Parota y cuerda 66*58*70 sillón 66*170*70 love 66*200*70 sofá 100*60*32 mesa Cojín curri incluido Majahuitas</x:v>
      </x:c>
      <x:c r="N91" s="22" t="str">
        <x:v>pieza</x:v>
      </x:c>
      <x:c r="O91" s="23" t="n">
        <x:v>28990</x:v>
      </x:c>
      <x:c r="P91" s="23" t="n">
        <x:v>31990</x:v>
      </x:c>
      <x:c r="Q91" s="17" t="str">
        <x:v>$31,990 – $28,990</x:v>
      </x:c>
      <x:c r="R91" s="22" t="str">
        <x:v>confirmado</x:v>
      </x:c>
      <x:c r="S91" s="22" t="str">
        <x:v>Sí</x:v>
      </x:c>
      <x:c r="T91" s="24"/>
      <x:c r="U91" s="17" t="str">
        <x:v>https://graph.microsoft.com/v1.0/me/drive/items/01DHXXN7YJMCJUVPBWNJEJPJIH7B4OTAUR#page=33</x:v>
      </x:c>
      <x:c r="V91" s="17" t="str">
        <x:v>https://graph.microsoft.com/v1.0/me/drive/items/01DHXXN7YJMCJUVPBWNJEJPJIH7B4OTAUR</x:v>
      </x:c>
      <x:c r="W91" s="17" t="str">
        <x:v>8deac878cdc6e6650c11d0a37cd43e388a8778e53aa91b533ec70b0dd23af018</x:v>
      </x:c>
      <x:c r="X91" s="17" t="str">
        <x:v>SKU no publicado; se conserva una identidad técnica estable.</x:v>
      </x:c>
    </x:row>
    <x:row r="92" ht="34" customHeight="1">
      <x:c r="A92" s="17" t="str">
        <x:v>IDÉLIKA</x:v>
      </x:c>
      <x:c r="B92" s="17" t="str">
        <x:v>Fabricacion</x:v>
      </x:c>
      <x:c r="C92" s="17" t="str">
        <x:v>1 CATALOGO FABRICACION 2026B.pdf</x:v>
      </x:c>
      <x:c r="D92" s="21" t="n">
        <x:v>33</x:v>
      </x:c>
      <x:c r="E92" s="17" t="str">
        <x:v>idelika:fabricacion:sin-sku:9afb4ee8888a15278879</x:v>
      </x:c>
      <x:c r="F92" s="17"/>
      <x:c r="G92" s="22" t="str">
        <x:v>por_verificar</x:v>
      </x:c>
      <x:c r="H92" s="17" t="str">
        <x:v>Majahuitas set</x:v>
      </x:c>
      <x:c r="I92" s="17" t="str">
        <x:v>Majahuitas</x:v>
      </x:c>
      <x:c r="J92" s="17"/>
      <x:c r="K92" s="17" t="str">
        <x:v>Parota y cuerda</x:v>
      </x:c>
      <x:c r="L92" s="17" t="str">
        <x:v>66*200*70 sofá</x:v>
      </x:c>
      <x:c r="M92" s="17" t="str">
        <x:v>Parota y cuerda 66*58*70 sillón 66*170*70 love 66*200*70 sofá 100*60*32 mesa Cojín curri incluido Majahuitas</x:v>
      </x:c>
      <x:c r="N92" s="22" t="str">
        <x:v>pieza</x:v>
      </x:c>
      <x:c r="O92" s="23" t="n">
        <x:v>34990</x:v>
      </x:c>
      <x:c r="P92" s="23" t="n">
        <x:v>39990</x:v>
      </x:c>
      <x:c r="Q92" s="17" t="str">
        <x:v>$39,990 – $34,990</x:v>
      </x:c>
      <x:c r="R92" s="22" t="str">
        <x:v>confirmado</x:v>
      </x:c>
      <x:c r="S92" s="22" t="str">
        <x:v>Sí</x:v>
      </x:c>
      <x:c r="T92" s="24"/>
      <x:c r="U92" s="17" t="str">
        <x:v>https://graph.microsoft.com/v1.0/me/drive/items/01DHXXN7YJMCJUVPBWNJEJPJIH7B4OTAUR#page=33</x:v>
      </x:c>
      <x:c r="V92" s="17" t="str">
        <x:v>https://graph.microsoft.com/v1.0/me/drive/items/01DHXXN7YJMCJUVPBWNJEJPJIH7B4OTAUR</x:v>
      </x:c>
      <x:c r="W92" s="17" t="str">
        <x:v>9afb4ee8888a152788790990cad20506699e46c31b980c517ae55eef030cc406</x:v>
      </x:c>
      <x:c r="X92" s="17" t="str">
        <x:v>SKU no publicado; se conserva una identidad técnica estable.</x:v>
      </x:c>
    </x:row>
    <x:row r="93" ht="34" customHeight="1">
      <x:c r="A93" s="17" t="str">
        <x:v>IDÉLIKA</x:v>
      </x:c>
      <x:c r="B93" s="17" t="str">
        <x:v>Fabricacion</x:v>
      </x:c>
      <x:c r="C93" s="17" t="str">
        <x:v>1 CATALOGO FABRICACION 2026B.pdf</x:v>
      </x:c>
      <x:c r="D93" s="21" t="n">
        <x:v>33</x:v>
      </x:c>
      <x:c r="E93" s="17" t="str">
        <x:v>idelika:fabricacion:sin-sku:0dafb3e4a9524e619acf</x:v>
      </x:c>
      <x:c r="F93" s="17"/>
      <x:c r="G93" s="22" t="str">
        <x:v>por_verificar</x:v>
      </x:c>
      <x:c r="H93" s="17" t="str">
        <x:v>Majahuitas set</x:v>
      </x:c>
      <x:c r="I93" s="17" t="str">
        <x:v>Majahuitas</x:v>
      </x:c>
      <x:c r="J93" s="17"/>
      <x:c r="K93" s="17" t="str">
        <x:v>Parota y cuerda</x:v>
      </x:c>
      <x:c r="L93" s="17" t="str">
        <x:v>100*60*32 mesa</x:v>
      </x:c>
      <x:c r="M93" s="17" t="str">
        <x:v>Parota y cuerda 66*58*70 sillón 66*170*70 love 66*200*70 sofá 100*60*32 mesa Cojín curri incluido Majahuitas</x:v>
      </x:c>
      <x:c r="N93" s="22" t="str">
        <x:v>pieza</x:v>
      </x:c>
      <x:c r="O93" s="23" t="n">
        <x:v>9990</x:v>
      </x:c>
      <x:c r="P93" s="23" t="n">
        <x:v>11990</x:v>
      </x:c>
      <x:c r="Q93" s="17" t="str">
        <x:v>$11,990 – $9,990</x:v>
      </x:c>
      <x:c r="R93" s="22" t="str">
        <x:v>confirmado</x:v>
      </x:c>
      <x:c r="S93" s="22" t="str">
        <x:v>Sí</x:v>
      </x:c>
      <x:c r="T93" s="24"/>
      <x:c r="U93" s="17" t="str">
        <x:v>https://graph.microsoft.com/v1.0/me/drive/items/01DHXXN7YJMCJUVPBWNJEJPJIH7B4OTAUR#page=33</x:v>
      </x:c>
      <x:c r="V93" s="17" t="str">
        <x:v>https://graph.microsoft.com/v1.0/me/drive/items/01DHXXN7YJMCJUVPBWNJEJPJIH7B4OTAUR</x:v>
      </x:c>
      <x:c r="W93" s="17" t="str">
        <x:v>0dafb3e4a9524e619acfbad10fed6da4322f8f5a4af07849e2e9549e2fe27a27</x:v>
      </x:c>
      <x:c r="X93" s="17" t="str">
        <x:v>SKU no publicado; se conserva una identidad técnica estable.</x:v>
      </x:c>
    </x:row>
    <x:row r="94" ht="34" customHeight="1">
      <x:c r="A94" s="17" t="str">
        <x:v>IDÉLIKA</x:v>
      </x:c>
      <x:c r="B94" s="17" t="str">
        <x:v>Fabricacion</x:v>
      </x:c>
      <x:c r="C94" s="17" t="str">
        <x:v>1 CATALOGO FABRICACION 2026B.pdf</x:v>
      </x:c>
      <x:c r="D94" s="21" t="n">
        <x:v>34</x:v>
      </x:c>
      <x:c r="E94" s="17" t="str">
        <x:v>idelika:fabricacion:sin-sku:43d9987eabd2ddb79343</x:v>
      </x:c>
      <x:c r="F94" s="17"/>
      <x:c r="G94" s="22" t="str">
        <x:v>por_verificar</x:v>
      </x:c>
      <x:c r="H94" s="17" t="str">
        <x:v>Majahuitas camastro</x:v>
      </x:c>
      <x:c r="I94" s="17" t="str">
        <x:v>Majahuitas</x:v>
      </x:c>
      <x:c r="J94" s="17"/>
      <x:c r="K94" s="17" t="str">
        <x:v>Parota y cuerda Parota natural</x:v>
      </x:c>
      <x:c r="L94" s="17" t="str">
        <x:v>175*77*70</x:v>
      </x:c>
      <x:c r="M94" s="17" t="str">
        <x:v>Parota y cuerda 175*77*70 Majahuitas Holbox Cuadrado Ó Ovalado Parota natural Formas orgánicas Irregulares Medida aproximada 50*45</x:v>
      </x:c>
      <x:c r="N94" s="22" t="str">
        <x:v>pieza</x:v>
      </x:c>
      <x:c r="O94" s="23" t="n">
        <x:v>19990</x:v>
      </x:c>
      <x:c r="P94" s="23" t="n">
        <x:v>21990</x:v>
      </x:c>
      <x:c r="Q94" s="17" t="str">
        <x:v>$21,990 – $19,990</x:v>
      </x:c>
      <x:c r="R94" s="22" t="str">
        <x:v>confirmado</x:v>
      </x:c>
      <x:c r="S94" s="22" t="str">
        <x:v>Sí</x:v>
      </x:c>
      <x:c r="T94" s="24"/>
      <x:c r="U94" s="17" t="str">
        <x:v>https://graph.microsoft.com/v1.0/me/drive/items/01DHXXN7YJMCJUVPBWNJEJPJIH7B4OTAUR#page=34</x:v>
      </x:c>
      <x:c r="V94" s="17" t="str">
        <x:v>https://graph.microsoft.com/v1.0/me/drive/items/01DHXXN7YJMCJUVPBWNJEJPJIH7B4OTAUR</x:v>
      </x:c>
      <x:c r="W94" s="17" t="str">
        <x:v>43d9987eabd2ddb79343d37818189b03f925c39a5b93cfe9143cee07587b3484</x:v>
      </x:c>
      <x:c r="X94" s="17" t="str">
        <x:v>SKU no publicado; se conserva una identidad técnica estable.</x:v>
      </x:c>
    </x:row>
    <x:row r="95" ht="34" customHeight="1">
      <x:c r="A95" s="17" t="str">
        <x:v>IDÉLIKA</x:v>
      </x:c>
      <x:c r="B95" s="17" t="str">
        <x:v>Fabricacion</x:v>
      </x:c>
      <x:c r="C95" s="17" t="str">
        <x:v>1 CATALOGO FABRICACION 2026B.pdf</x:v>
      </x:c>
      <x:c r="D95" s="21" t="n">
        <x:v>34</x:v>
      </x:c>
      <x:c r="E95" s="17" t="str">
        <x:v>idelika:fabricacion:sin-sku:51fed510584dee0ab9d9</x:v>
      </x:c>
      <x:c r="F95" s="17"/>
      <x:c r="G95" s="22" t="str">
        <x:v>por_verificar</x:v>
      </x:c>
      <x:c r="H95" s="17" t="str">
        <x:v>Majahuitas camastro</x:v>
      </x:c>
      <x:c r="I95" s="17" t="str">
        <x:v>Majahuitas</x:v>
      </x:c>
      <x:c r="J95" s="17"/>
      <x:c r="K95" s="17" t="str">
        <x:v>Parota y cuerda Parota natural</x:v>
      </x:c>
      <x:c r="L95" s="17" t="str">
        <x:v>50*45</x:v>
      </x:c>
      <x:c r="M95" s="17" t="str">
        <x:v>Parota y cuerda 175*77*70 Majahuitas Holbox Cuadrado Ó Ovalado Parota natural Formas orgánicas Irregulares Medida aproximada 50*45</x:v>
      </x:c>
      <x:c r="N95" s="22" t="str">
        <x:v>pieza</x:v>
      </x:c>
      <x:c r="O95" s="23" t="n">
        <x:v>2999</x:v>
      </x:c>
      <x:c r="P95" s="23" t="n">
        <x:v>3999</x:v>
      </x:c>
      <x:c r="Q95" s="17" t="str">
        <x:v>$3,999 – $2,999</x:v>
      </x:c>
      <x:c r="R95" s="22" t="str">
        <x:v>confirmado</x:v>
      </x:c>
      <x:c r="S95" s="22" t="str">
        <x:v>Sí</x:v>
      </x:c>
      <x:c r="T95" s="24"/>
      <x:c r="U95" s="17" t="str">
        <x:v>https://graph.microsoft.com/v1.0/me/drive/items/01DHXXN7YJMCJUVPBWNJEJPJIH7B4OTAUR#page=34</x:v>
      </x:c>
      <x:c r="V95" s="17" t="str">
        <x:v>https://graph.microsoft.com/v1.0/me/drive/items/01DHXXN7YJMCJUVPBWNJEJPJIH7B4OTAUR</x:v>
      </x:c>
      <x:c r="W95" s="17" t="str">
        <x:v>51fed510584dee0ab9d966a3d6408b0b27ece645890aec668e7f374188975325</x:v>
      </x:c>
      <x:c r="X95" s="17" t="str">
        <x:v>SKU no publicado; se conserva una identidad técnica estable.</x:v>
      </x:c>
    </x:row>
    <x:row r="96" ht="34" customHeight="1">
      <x:c r="A96" s="17" t="str">
        <x:v>IDÉLIKA</x:v>
      </x:c>
      <x:c r="B96" s="17" t="str">
        <x:v>Fabricacion</x:v>
      </x:c>
      <x:c r="C96" s="17" t="str">
        <x:v>1 CATALOGO FABRICACION 2026B.pdf</x:v>
      </x:c>
      <x:c r="D96" s="21" t="n">
        <x:v>35</x:v>
      </x:c>
      <x:c r="E96" s="17" t="str">
        <x:v>idelika:fabricacion:sin-sku:ce2a8f41c22425818f4b</x:v>
      </x:c>
      <x:c r="F96" s="17"/>
      <x:c r="G96" s="22" t="str">
        <x:v>por_verificar</x:v>
      </x:c>
      <x:c r="H96" s="17" t="str">
        <x:v>Acatic mesa centro</x:v>
      </x:c>
      <x:c r="I96" s="17"/>
      <x:c r="J96" s="17"/>
      <x:c r="K96" s="17" t="str">
        <x:v>Acero con pintura electroestática Cuerda de multifilamento de Polipropileno y cubierta de Madera de teca</x:v>
      </x:c>
      <x:c r="L96" s="17" t="str">
        <x:v>60 diámetro</x:v>
      </x:c>
      <x:c r="M96" s="17" t="str">
        <x:v>Acero con pintura electroestática Cuerda de multifilamento de Polipropileno y cubierta de Madera de teca 60 diámetro Bonsai</x:v>
      </x:c>
      <x:c r="N96" s="22" t="str">
        <x:v>pieza</x:v>
      </x:c>
      <x:c r="O96" s="23" t="n">
        <x:v>5990</x:v>
      </x:c>
      <x:c r="P96" s="23" t="n">
        <x:v>6990</x:v>
      </x:c>
      <x:c r="Q96" s="17" t="str">
        <x:v>$6,990 – $5,990</x:v>
      </x:c>
      <x:c r="R96" s="22" t="str">
        <x:v>confirmado</x:v>
      </x:c>
      <x:c r="S96" s="22" t="str">
        <x:v>Sí</x:v>
      </x:c>
      <x:c r="T96" s="24"/>
      <x:c r="U96" s="17" t="str">
        <x:v>https://graph.microsoft.com/v1.0/me/drive/items/01DHXXN7YJMCJUVPBWNJEJPJIH7B4OTAUR#page=35</x:v>
      </x:c>
      <x:c r="V96" s="17" t="str">
        <x:v>https://graph.microsoft.com/v1.0/me/drive/items/01DHXXN7YJMCJUVPBWNJEJPJIH7B4OTAUR</x:v>
      </x:c>
      <x:c r="W96" s="17" t="str">
        <x:v>ce2a8f41c22425818f4b8cd6ff1f363e63d24ee55d1b30ee040a301534ddf5aa</x:v>
      </x:c>
      <x:c r="X96" s="17" t="str">
        <x:v>SKU no publicado; se conserva una identidad técnica estable.</x:v>
      </x:c>
    </x:row>
    <x:row r="97" ht="34" customHeight="1">
      <x:c r="A97" s="17" t="str">
        <x:v>IDÉLIKA</x:v>
      </x:c>
      <x:c r="B97" s="17" t="str">
        <x:v>Fabricacion</x:v>
      </x:c>
      <x:c r="C97" s="17" t="str">
        <x:v>1 CATALOGO FABRICACION 2026B.pdf</x:v>
      </x:c>
      <x:c r="D97" s="21" t="n">
        <x:v>35</x:v>
      </x:c>
      <x:c r="E97" s="17" t="str">
        <x:v>idelika:fabricacion:sin-sku:f3e137412fe0c0942118</x:v>
      </x:c>
      <x:c r="F97" s="17"/>
      <x:c r="G97" s="22" t="str">
        <x:v>por_verificar</x:v>
      </x:c>
      <x:c r="H97" s="17" t="str">
        <x:v>sillón &amp; ottoman</x:v>
      </x:c>
      <x:c r="I97" s="17"/>
      <x:c r="J97" s="17"/>
      <x:c r="K97" s="17" t="str">
        <x:v>Madera de teca</x:v>
      </x:c>
      <x:c r="L97" s="17" t="str">
        <x:v>72*60*83 alto</x:v>
      </x:c>
      <x:c r="M97" s="17" t="str">
        <x:v>Madera de teca 72*60*83 alto + ottoman</x:v>
      </x:c>
      <x:c r="N97" s="22" t="str">
        <x:v>pieza</x:v>
      </x:c>
      <x:c r="O97" s="23" t="n">
        <x:v>14990</x:v>
      </x:c>
      <x:c r="P97" s="23" t="n">
        <x:v>16990</x:v>
      </x:c>
      <x:c r="Q97" s="17" t="str">
        <x:v>$16,990 – $14,990</x:v>
      </x:c>
      <x:c r="R97" s="22" t="str">
        <x:v>confirmado</x:v>
      </x:c>
      <x:c r="S97" s="22" t="str">
        <x:v>Sí</x:v>
      </x:c>
      <x:c r="T97" s="24"/>
      <x:c r="U97" s="17" t="str">
        <x:v>https://graph.microsoft.com/v1.0/me/drive/items/01DHXXN7YJMCJUVPBWNJEJPJIH7B4OTAUR#page=35</x:v>
      </x:c>
      <x:c r="V97" s="17" t="str">
        <x:v>https://graph.microsoft.com/v1.0/me/drive/items/01DHXXN7YJMCJUVPBWNJEJPJIH7B4OTAUR</x:v>
      </x:c>
      <x:c r="W97" s="17" t="str">
        <x:v>f3e137412fe0c09421185a1237eb2971dcf31accfb1f4d99c156f26b60c86437</x:v>
      </x:c>
      <x:c r="X97" s="17" t="str">
        <x:v>SKU no publicado; se conserva una identidad técnica estable.</x:v>
      </x:c>
    </x:row>
    <x:row r="98" ht="34" customHeight="1">
      <x:c r="A98" s="17" t="str">
        <x:v>IDÉLIKA</x:v>
      </x:c>
      <x:c r="B98" s="17" t="str">
        <x:v>Fabricacion</x:v>
      </x:c>
      <x:c r="C98" s="17" t="str">
        <x:v>1 CATALOGO FABRICACION 2026B.pdf</x:v>
      </x:c>
      <x:c r="D98" s="21" t="n">
        <x:v>36</x:v>
      </x:c>
      <x:c r="E98" s="17" t="str">
        <x:v>idelika:fabricacion:sin-sku:ce5905e662a28846dd6e</x:v>
      </x:c>
      <x:c r="F98" s="17"/>
      <x:c r="G98" s="22" t="str">
        <x:v>por_verificar</x:v>
      </x:c>
      <x:c r="H98" s="17" t="str">
        <x:v>Mazunte banco</x:v>
      </x:c>
      <x:c r="I98" s="17" t="str">
        <x:v>Mazunte</x:v>
      </x:c>
      <x:c r="J98" s="17"/>
      <x:c r="K98" s="17" t="str">
        <x:v>Madera de parota</x:v>
      </x:c>
      <x:c r="L98" s="17" t="str">
        <x:v>60*64*100/90</x:v>
      </x:c>
      <x:c r="M98" s="17" t="str">
        <x:v>Madera de parota Uso exterior techado 60*64*100/90</x:v>
      </x:c>
      <x:c r="N98" s="22" t="str">
        <x:v>pieza</x:v>
      </x:c>
      <x:c r="O98" s="23" t="n">
        <x:v>5990</x:v>
      </x:c>
      <x:c r="P98" s="23" t="n">
        <x:v>6499</x:v>
      </x:c>
      <x:c r="Q98" s="17" t="str">
        <x:v>$6,499 – $5,990</x:v>
      </x:c>
      <x:c r="R98" s="22" t="str">
        <x:v>confirmado</x:v>
      </x:c>
      <x:c r="S98" s="22" t="str">
        <x:v>Sí</x:v>
      </x:c>
      <x:c r="T98" s="24"/>
      <x:c r="U98" s="17" t="str">
        <x:v>https://graph.microsoft.com/v1.0/me/drive/items/01DHXXN7YJMCJUVPBWNJEJPJIH7B4OTAUR#page=36</x:v>
      </x:c>
      <x:c r="V98" s="17" t="str">
        <x:v>https://graph.microsoft.com/v1.0/me/drive/items/01DHXXN7YJMCJUVPBWNJEJPJIH7B4OTAUR</x:v>
      </x:c>
      <x:c r="W98" s="17" t="str">
        <x:v>ce5905e662a28846dd6e96fb24316d53f3ebee16aa6e54de00fe6e2248b2b8ab</x:v>
      </x:c>
      <x:c r="X98" s="17" t="str">
        <x:v>SKU no publicado; se conserva una identidad técnica estable.</x:v>
      </x:c>
    </x:row>
    <x:row r="99" ht="34" customHeight="1">
      <x:c r="A99" s="17" t="str">
        <x:v>IDÉLIKA</x:v>
      </x:c>
      <x:c r="B99" s="17" t="str">
        <x:v>Fabricacion</x:v>
      </x:c>
      <x:c r="C99" s="17" t="str">
        <x:v>1 CATALOGO FABRICACION 2026B.pdf</x:v>
      </x:c>
      <x:c r="D99" s="21" t="n">
        <x:v>36</x:v>
      </x:c>
      <x:c r="E99" s="17" t="str">
        <x:v>idelika:fabricacion:sin-sku:dc76dc97a8557da9e0a2</x:v>
      </x:c>
      <x:c r="F99" s="17"/>
      <x:c r="G99" s="22" t="str">
        <x:v>por_verificar</x:v>
      </x:c>
      <x:c r="H99" s="17" t="str">
        <x:v>Mazunte silla</x:v>
      </x:c>
      <x:c r="I99" s="17" t="str">
        <x:v>Mazunte</x:v>
      </x:c>
      <x:c r="J99" s="17"/>
      <x:c r="K99" s="17" t="str">
        <x:v>Madera de parota Y cuerda de multifilamento</x:v>
      </x:c>
      <x:c r="L99" s="17" t="str">
        <x:v>60*47*86</x:v>
      </x:c>
      <x:c r="M99" s="17" t="str">
        <x:v>Madera de parota Y cuerda de multifilamento 60*47*86</x:v>
      </x:c>
      <x:c r="N99" s="22" t="str">
        <x:v>pieza</x:v>
      </x:c>
      <x:c r="O99" s="23" t="n">
        <x:v>5990</x:v>
      </x:c>
      <x:c r="P99" s="23" t="n">
        <x:v>6499</x:v>
      </x:c>
      <x:c r="Q99" s="17" t="str">
        <x:v>$6,499 – $5,990</x:v>
      </x:c>
      <x:c r="R99" s="22" t="str">
        <x:v>confirmado</x:v>
      </x:c>
      <x:c r="S99" s="22" t="str">
        <x:v>Sí</x:v>
      </x:c>
      <x:c r="T99" s="24"/>
      <x:c r="U99" s="17" t="str">
        <x:v>https://graph.microsoft.com/v1.0/me/drive/items/01DHXXN7YJMCJUVPBWNJEJPJIH7B4OTAUR#page=36</x:v>
      </x:c>
      <x:c r="V99" s="17" t="str">
        <x:v>https://graph.microsoft.com/v1.0/me/drive/items/01DHXXN7YJMCJUVPBWNJEJPJIH7B4OTAUR</x:v>
      </x:c>
      <x:c r="W99" s="17" t="str">
        <x:v>dc76dc97a8557da9e0a288313fc4dc5a59318449b9f776ac3a2652043a4c2ad7</x:v>
      </x:c>
      <x:c r="X99" s="17" t="str">
        <x:v>SKU no publicado; se conserva una identidad técnica estable.</x:v>
      </x:c>
    </x:row>
    <x:row r="100" ht="34" customHeight="1">
      <x:c r="A100" s="17" t="str">
        <x:v>IDÉLIKA</x:v>
      </x:c>
      <x:c r="B100" s="17" t="str">
        <x:v>Fabricacion</x:v>
      </x:c>
      <x:c r="C100" s="17" t="str">
        <x:v>1 CATALOGO FABRICACION 2026B.pdf</x:v>
      </x:c>
      <x:c r="D100" s="21" t="n">
        <x:v>37</x:v>
      </x:c>
      <x:c r="E100" s="17" t="str">
        <x:v>idelika:fabricacion:sin-sku:c1d513e120c9c7d61b3f</x:v>
      </x:c>
      <x:c r="F100" s="17"/>
      <x:c r="G100" s="22" t="str">
        <x:v>por_verificar</x:v>
      </x:c>
      <x:c r="H100" s="17" t="str">
        <x:v>Oaxaca banco</x:v>
      </x:c>
      <x:c r="I100" s="17" t="str">
        <x:v>Oaxaca</x:v>
      </x:c>
      <x:c r="J100" s="17"/>
      <x:c r="K100" s="17" t="str">
        <x:v>Madera de parota Y cuerda de multifilamento</x:v>
      </x:c>
      <x:c r="L100" s="17" t="str">
        <x:v>68*56*95/105</x:v>
      </x:c>
      <x:c r="M100" s="17" t="str">
        <x:v>Madera de parota Y cuerda de multifilamento 68*56*95/105</x:v>
      </x:c>
      <x:c r="N100" s="22" t="str">
        <x:v>pieza</x:v>
      </x:c>
      <x:c r="O100" s="23" t="n">
        <x:v>6990</x:v>
      </x:c>
      <x:c r="P100" s="23" t="n">
        <x:v>7199</x:v>
      </x:c>
      <x:c r="Q100" s="17" t="str">
        <x:v>$7,199 – $6,990</x:v>
      </x:c>
      <x:c r="R100" s="22" t="str">
        <x:v>confirmado</x:v>
      </x:c>
      <x:c r="S100" s="22" t="str">
        <x:v>Sí</x:v>
      </x:c>
      <x:c r="T100" s="24"/>
      <x:c r="U100" s="17" t="str">
        <x:v>https://graph.microsoft.com/v1.0/me/drive/items/01DHXXN7YJMCJUVPBWNJEJPJIH7B4OTAUR#page=37</x:v>
      </x:c>
      <x:c r="V100" s="17" t="str">
        <x:v>https://graph.microsoft.com/v1.0/me/drive/items/01DHXXN7YJMCJUVPBWNJEJPJIH7B4OTAUR</x:v>
      </x:c>
      <x:c r="W100" s="17" t="str">
        <x:v>c1d513e120c9c7d61b3f41ed2c8a3aab06afcc86b9ed45b955eafeaf22812af8</x:v>
      </x:c>
      <x:c r="X100" s="17" t="str">
        <x:v>SKU no publicado; se conserva una identidad técnica estable.</x:v>
      </x:c>
    </x:row>
    <x:row r="101" ht="34" customHeight="1">
      <x:c r="A101" s="17" t="str">
        <x:v>IDÉLIKA</x:v>
      </x:c>
      <x:c r="B101" s="17" t="str">
        <x:v>Fabricacion</x:v>
      </x:c>
      <x:c r="C101" s="17" t="str">
        <x:v>1 CATALOGO FABRICACION 2026B.pdf</x:v>
      </x:c>
      <x:c r="D101" s="21" t="n">
        <x:v>37</x:v>
      </x:c>
      <x:c r="E101" s="17" t="str">
        <x:v>idelika:fabricacion:sin-sku:0615855213274e3e0bfe</x:v>
      </x:c>
      <x:c r="F101" s="17"/>
      <x:c r="G101" s="22" t="str">
        <x:v>por_verificar</x:v>
      </x:c>
      <x:c r="H101" s="17" t="str">
        <x:v>Mesa Tomatlán</x:v>
      </x:c>
      <x:c r="I101" s="17" t="str">
        <x:v>Oaxaca</x:v>
      </x:c>
      <x:c r="J101" s="17" t="str">
        <x:v>de 2.00 a 2.20</x:v>
      </x:c>
      <x:c r="K101" s="17" t="str">
        <x:v>Parota y acero</x:v>
      </x:c>
      <x:c r="L101" s="17"/>
      <x:c r="M101" s="17" t="str">
        <x:v>Parota y acero</x:v>
      </x:c>
      <x:c r="N101" s="22" t="str">
        <x:v>pieza</x:v>
      </x:c>
      <x:c r="O101" s="23" t="n">
        <x:v>29990</x:v>
      </x:c>
      <x:c r="P101" s="23" t="n">
        <x:v>32699</x:v>
      </x:c>
      <x:c r="Q101" s="17" t="str">
        <x:v>$32,699 – $29,990 de 2.00 a 2.20</x:v>
      </x:c>
      <x:c r="R101" s="22" t="str">
        <x:v>confirmado</x:v>
      </x:c>
      <x:c r="S101" s="22" t="str">
        <x:v>Sí</x:v>
      </x:c>
      <x:c r="T101" s="24"/>
      <x:c r="U101" s="17" t="str">
        <x:v>https://graph.microsoft.com/v1.0/me/drive/items/01DHXXN7YJMCJUVPBWNJEJPJIH7B4OTAUR#page=37</x:v>
      </x:c>
      <x:c r="V101" s="17" t="str">
        <x:v>https://graph.microsoft.com/v1.0/me/drive/items/01DHXXN7YJMCJUVPBWNJEJPJIH7B4OTAUR</x:v>
      </x:c>
      <x:c r="W101" s="17" t="str">
        <x:v>0615855213274e3e0bfecc92df9669b8bdecb5f23ba14f160b84958285f540b4</x:v>
      </x:c>
      <x:c r="X101" s="17" t="str">
        <x:v>SKU no publicado; se conserva una identidad técnica estable.</x:v>
      </x:c>
    </x:row>
    <x:row r="102" ht="34" customHeight="1">
      <x:c r="A102" s="17" t="str">
        <x:v>IDÉLIKA</x:v>
      </x:c>
      <x:c r="B102" s="17" t="str">
        <x:v>Fabricacion</x:v>
      </x:c>
      <x:c r="C102" s="17" t="str">
        <x:v>1 CATALOGO FABRICACION 2026B.pdf</x:v>
      </x:c>
      <x:c r="D102" s="21" t="n">
        <x:v>37</x:v>
      </x:c>
      <x:c r="E102" s="17" t="str">
        <x:v>idelika:fabricacion:sin-sku:5a22ac085f6e501a5d71</x:v>
      </x:c>
      <x:c r="F102" s="17"/>
      <x:c r="G102" s="22" t="str">
        <x:v>por_verificar</x:v>
      </x:c>
      <x:c r="H102" s="17" t="str">
        <x:v>Mesa Tomatlán</x:v>
      </x:c>
      <x:c r="I102" s="17" t="str">
        <x:v>Oaxaca</x:v>
      </x:c>
      <x:c r="J102" s="17" t="str">
        <x:v>de 2.40 a 2.60</x:v>
      </x:c>
      <x:c r="K102" s="17" t="str">
        <x:v>Parota y acero</x:v>
      </x:c>
      <x:c r="L102" s="17"/>
      <x:c r="M102" s="17" t="str">
        <x:v>Parota y acero</x:v>
      </x:c>
      <x:c r="N102" s="22" t="str">
        <x:v>pieza</x:v>
      </x:c>
      <x:c r="O102" s="23" t="n">
        <x:v>36990</x:v>
      </x:c>
      <x:c r="P102" s="23" t="n">
        <x:v>39699</x:v>
      </x:c>
      <x:c r="Q102" s="17" t="str">
        <x:v>$39,699 – $36,990 de 2.40 a 2.60</x:v>
      </x:c>
      <x:c r="R102" s="22" t="str">
        <x:v>confirmado</x:v>
      </x:c>
      <x:c r="S102" s="22" t="str">
        <x:v>Sí</x:v>
      </x:c>
      <x:c r="T102" s="24"/>
      <x:c r="U102" s="17" t="str">
        <x:v>https://graph.microsoft.com/v1.0/me/drive/items/01DHXXN7YJMCJUVPBWNJEJPJIH7B4OTAUR#page=37</x:v>
      </x:c>
      <x:c r="V102" s="17" t="str">
        <x:v>https://graph.microsoft.com/v1.0/me/drive/items/01DHXXN7YJMCJUVPBWNJEJPJIH7B4OTAUR</x:v>
      </x:c>
      <x:c r="W102" s="17" t="str">
        <x:v>5a22ac085f6e501a5d713ecee309df0cba161a4da379cb1a95965426bb144987</x:v>
      </x:c>
      <x:c r="X102" s="17" t="str">
        <x:v>SKU no publicado; se conserva una identidad técnica estable.</x:v>
      </x:c>
    </x:row>
    <x:row r="103" ht="34" customHeight="1">
      <x:c r="A103" s="17" t="str">
        <x:v>IDÉLIKA</x:v>
      </x:c>
      <x:c r="B103" s="17" t="str">
        <x:v>Fabricacion</x:v>
      </x:c>
      <x:c r="C103" s="17" t="str">
        <x:v>1 CATALOGO FABRICACION 2026B.pdf</x:v>
      </x:c>
      <x:c r="D103" s="21" t="n">
        <x:v>38</x:v>
      </x:c>
      <x:c r="E103" s="17" t="str">
        <x:v>idelika:fabricacion:sin-sku:31b6736bd909896f0654</x:v>
      </x:c>
      <x:c r="F103" s="17"/>
      <x:c r="G103" s="22" t="str">
        <x:v>por_verificar</x:v>
      </x:c>
      <x:c r="H103" s="17" t="str">
        <x:v>Oaxaca Cama de día</x:v>
      </x:c>
      <x:c r="I103" s="17"/>
      <x:c r="J103" s="17"/>
      <x:c r="K103" s="17" t="str">
        <x:v>Madera de parota o teka y Acero galvanizado Loneta 100% exterior atenzza</x:v>
      </x:c>
      <x:c r="L103" s="17" t="str">
        <x:v>185*158*79</x:v>
      </x:c>
      <x:c r="M103" s="17" t="str">
        <x:v>Madera de parota o teka y Acero galvanizado Loneta 100% exterior atenzza 185*158*79</x:v>
      </x:c>
      <x:c r="N103" s="22" t="str">
        <x:v>pieza</x:v>
      </x:c>
      <x:c r="O103" s="23" t="n">
        <x:v>39990</x:v>
      </x:c>
      <x:c r="P103" s="23" t="n">
        <x:v>49990</x:v>
      </x:c>
      <x:c r="Q103" s="17" t="str">
        <x:v>$49,990 – $39,990</x:v>
      </x:c>
      <x:c r="R103" s="22" t="str">
        <x:v>confirmado</x:v>
      </x:c>
      <x:c r="S103" s="22" t="str">
        <x:v>Sí</x:v>
      </x:c>
      <x:c r="T103" s="24"/>
      <x:c r="U103" s="17" t="str">
        <x:v>https://graph.microsoft.com/v1.0/me/drive/items/01DHXXN7YJMCJUVPBWNJEJPJIH7B4OTAUR#page=38</x:v>
      </x:c>
      <x:c r="V103" s="17" t="str">
        <x:v>https://graph.microsoft.com/v1.0/me/drive/items/01DHXXN7YJMCJUVPBWNJEJPJIH7B4OTAUR</x:v>
      </x:c>
      <x:c r="W103" s="17" t="str">
        <x:v>31b6736bd909896f0654f80382fdbdad82d5d3b1f67b2625043df680e1b487cf</x:v>
      </x:c>
      <x:c r="X103" s="17" t="str">
        <x:v>SKU no publicado; se conserva una identidad técnica estable.</x:v>
      </x:c>
    </x:row>
    <x:row r="104" ht="34" customHeight="1">
      <x:c r="A104" s="17" t="str">
        <x:v>IDÉLIKA</x:v>
      </x:c>
      <x:c r="B104" s="17" t="str">
        <x:v>Fabricacion</x:v>
      </x:c>
      <x:c r="C104" s="17" t="str">
        <x:v>1 CATALOGO FABRICACION 2026B.pdf</x:v>
      </x:c>
      <x:c r="D104" s="21" t="n">
        <x:v>38</x:v>
      </x:c>
      <x:c r="E104" s="17" t="str">
        <x:v>idelika:fabricacion:sin-sku:721fb888fe8a7ef23a3b</x:v>
      </x:c>
      <x:c r="F104" s="17"/>
      <x:c r="G104" s="22" t="str">
        <x:v>por_verificar</x:v>
      </x:c>
      <x:c r="H104" s="17" t="str">
        <x:v>Oaxaca camastro</x:v>
      </x:c>
      <x:c r="I104" s="17"/>
      <x:c r="J104" s="17"/>
      <x:c r="K104" s="17" t="str">
        <x:v>Madera de parota y Cuerda textilene Loneta 100% exterior atenzza</x:v>
      </x:c>
      <x:c r="L104" s="17" t="str">
        <x:v>170*70*78 camastro</x:v>
      </x:c>
      <x:c r="M104" s="17" t="str">
        <x:v>Madera de parota y Cuerda textilene Loneta 100% exterior atenzza 170*70*78 camastro Exterior 100%</x:v>
      </x:c>
      <x:c r="N104" s="22" t="str">
        <x:v>pieza</x:v>
      </x:c>
      <x:c r="O104" s="23" t="n">
        <x:v>16990</x:v>
      </x:c>
      <x:c r="P104" s="23" t="n">
        <x:v>17990</x:v>
      </x:c>
      <x:c r="Q104" s="17" t="str">
        <x:v>$17,990 – $16,990</x:v>
      </x:c>
      <x:c r="R104" s="22" t="str">
        <x:v>confirmado</x:v>
      </x:c>
      <x:c r="S104" s="22" t="str">
        <x:v>Sí</x:v>
      </x:c>
      <x:c r="T104" s="24"/>
      <x:c r="U104" s="17" t="str">
        <x:v>https://graph.microsoft.com/v1.0/me/drive/items/01DHXXN7YJMCJUVPBWNJEJPJIH7B4OTAUR#page=38</x:v>
      </x:c>
      <x:c r="V104" s="17" t="str">
        <x:v>https://graph.microsoft.com/v1.0/me/drive/items/01DHXXN7YJMCJUVPBWNJEJPJIH7B4OTAUR</x:v>
      </x:c>
      <x:c r="W104" s="17" t="str">
        <x:v>721fb888fe8a7ef23a3bd27587244eac47e99fabfe2f2c6a60ff88f4b654dbd2</x:v>
      </x:c>
      <x:c r="X104" s="17" t="str">
        <x:v>SKU no publicado; se conserva una identidad técnica estable.</x:v>
      </x:c>
    </x:row>
    <x:row r="105" ht="34" customHeight="1">
      <x:c r="A105" s="17" t="str">
        <x:v>IDÉLIKA</x:v>
      </x:c>
      <x:c r="B105" s="17" t="str">
        <x:v>Fabricacion</x:v>
      </x:c>
      <x:c r="C105" s="17" t="str">
        <x:v>1 CATALOGO FABRICACION 2026B.pdf</x:v>
      </x:c>
      <x:c r="D105" s="21" t="n">
        <x:v>38</x:v>
      </x:c>
      <x:c r="E105" s="17" t="str">
        <x:v>idelika:fabricacion:sin-sku:c127e0c0bd857466a039</x:v>
      </x:c>
      <x:c r="F105" s="17"/>
      <x:c r="G105" s="22" t="str">
        <x:v>por_verificar</x:v>
      </x:c>
      <x:c r="H105" s="17" t="str">
        <x:v>Oaxaca mesa lateral</x:v>
      </x:c>
      <x:c r="I105" s="17"/>
      <x:c r="J105" s="17"/>
      <x:c r="K105" s="17" t="str">
        <x:v>Madera de parota</x:v>
      </x:c>
      <x:c r="L105" s="17" t="str">
        <x:v>50*40*40</x:v>
      </x:c>
      <x:c r="M105" s="17" t="str">
        <x:v>Madera de parota Laca de exterior 50*40*40</x:v>
      </x:c>
      <x:c r="N105" s="22" t="str">
        <x:v>pieza</x:v>
      </x:c>
      <x:c r="O105" s="23" t="n">
        <x:v>3990</x:v>
      </x:c>
      <x:c r="P105" s="23" t="n">
        <x:v>4990</x:v>
      </x:c>
      <x:c r="Q105" s="17" t="str">
        <x:v>$4,990 – $3,990</x:v>
      </x:c>
      <x:c r="R105" s="22" t="str">
        <x:v>confirmado</x:v>
      </x:c>
      <x:c r="S105" s="22" t="str">
        <x:v>Sí</x:v>
      </x:c>
      <x:c r="T105" s="24"/>
      <x:c r="U105" s="17" t="str">
        <x:v>https://graph.microsoft.com/v1.0/me/drive/items/01DHXXN7YJMCJUVPBWNJEJPJIH7B4OTAUR#page=38</x:v>
      </x:c>
      <x:c r="V105" s="17" t="str">
        <x:v>https://graph.microsoft.com/v1.0/me/drive/items/01DHXXN7YJMCJUVPBWNJEJPJIH7B4OTAUR</x:v>
      </x:c>
      <x:c r="W105" s="17" t="str">
        <x:v>c127e0c0bd857466a0394561d2c4672ad2bf361e45c00c0f5751173065cb56a9</x:v>
      </x:c>
      <x:c r="X105" s="17" t="str">
        <x:v>SKU no publicado; se conserva una identidad técnica estable.</x:v>
      </x:c>
    </x:row>
    <x:row r="106" ht="34" customHeight="1">
      <x:c r="A106" s="17" t="str">
        <x:v>IDÉLIKA</x:v>
      </x:c>
      <x:c r="B106" s="17" t="str">
        <x:v>Fabricacion</x:v>
      </x:c>
      <x:c r="C106" s="17" t="str">
        <x:v>1 CATALOGO FABRICACION 2026B.pdf</x:v>
      </x:c>
      <x:c r="D106" s="21" t="n">
        <x:v>40</x:v>
      </x:c>
      <x:c r="E106" s="17" t="str">
        <x:v>idelika:fabricacion:sin-sku:564e74fdd04b17f7e632</x:v>
      </x:c>
      <x:c r="F106" s="17"/>
      <x:c r="G106" s="22" t="str">
        <x:v>por_verificar</x:v>
      </x:c>
      <x:c r="H106" s="17" t="str">
        <x:v>Sacaleta mesa</x:v>
      </x:c>
      <x:c r="I106" s="17"/>
      <x:c r="J106" s="17"/>
      <x:c r="K106" s="17" t="str">
        <x:v>Madera Maciza Eucalipto Madera Maciza Eucalipto</x:v>
      </x:c>
      <x:c r="L106" s="17" t="str">
        <x:v>100*60*32</x:v>
      </x:c>
      <x:c r="M106" s="17" t="str">
        <x:v>Madera Maciza Eucalipto 100*60*32 Sacaleta Love Madera Maciza Eucalipto 142*82*78</x:v>
      </x:c>
      <x:c r="N106" s="22" t="str">
        <x:v>pieza</x:v>
      </x:c>
      <x:c r="O106" s="23" t="n">
        <x:v>8990</x:v>
      </x:c>
      <x:c r="P106" s="23" t="n">
        <x:v>9990</x:v>
      </x:c>
      <x:c r="Q106" s="17" t="str">
        <x:v>$9,990 – $8,990</x:v>
      </x:c>
      <x:c r="R106" s="22" t="str">
        <x:v>confirmado</x:v>
      </x:c>
      <x:c r="S106" s="22" t="str">
        <x:v>Sí</x:v>
      </x:c>
      <x:c r="T106" s="24"/>
      <x:c r="U106" s="17" t="str">
        <x:v>https://graph.microsoft.com/v1.0/me/drive/items/01DHXXN7YJMCJUVPBWNJEJPJIH7B4OTAUR#page=40</x:v>
      </x:c>
      <x:c r="V106" s="17" t="str">
        <x:v>https://graph.microsoft.com/v1.0/me/drive/items/01DHXXN7YJMCJUVPBWNJEJPJIH7B4OTAUR</x:v>
      </x:c>
      <x:c r="W106" s="17" t="str">
        <x:v>564e74fdd04b17f7e632157cb894fee6522557ae937865ee2015336c28bbc137</x:v>
      </x:c>
      <x:c r="X106" s="17" t="str">
        <x:v>SKU no publicado; se conserva una identidad técnica estable.</x:v>
      </x:c>
    </x:row>
    <x:row r="107" ht="34" customHeight="1">
      <x:c r="A107" s="17" t="str">
        <x:v>IDÉLIKA</x:v>
      </x:c>
      <x:c r="B107" s="17" t="str">
        <x:v>Fabricacion</x:v>
      </x:c>
      <x:c r="C107" s="17" t="str">
        <x:v>1 CATALOGO FABRICACION 2026B.pdf</x:v>
      </x:c>
      <x:c r="D107" s="21" t="n">
        <x:v>40</x:v>
      </x:c>
      <x:c r="E107" s="17" t="str">
        <x:v>idelika:fabricacion:sin-sku:0bb8df0dd9e614733dbe</x:v>
      </x:c>
      <x:c r="F107" s="17"/>
      <x:c r="G107" s="22" t="str">
        <x:v>por_verificar</x:v>
      </x:c>
      <x:c r="H107" s="17" t="str">
        <x:v>Sacaleta mesa</x:v>
      </x:c>
      <x:c r="I107" s="17"/>
      <x:c r="J107" s="17"/>
      <x:c r="K107" s="17" t="str">
        <x:v>Madera Maciza Eucalipto Madera Maciza Eucalipto</x:v>
      </x:c>
      <x:c r="L107" s="17" t="str">
        <x:v>142*82*78</x:v>
      </x:c>
      <x:c r="M107" s="17" t="str">
        <x:v>Madera Maciza Eucalipto 100*60*32 Sacaleta Love Madera Maciza Eucalipto 142*82*78</x:v>
      </x:c>
      <x:c r="N107" s="22" t="str">
        <x:v>pieza</x:v>
      </x:c>
      <x:c r="O107" s="23" t="n">
        <x:v>24990</x:v>
      </x:c>
      <x:c r="P107" s="23" t="n">
        <x:v>25990</x:v>
      </x:c>
      <x:c r="Q107" s="17" t="str">
        <x:v>$25,990 – $24,990</x:v>
      </x:c>
      <x:c r="R107" s="22" t="str">
        <x:v>confirmado</x:v>
      </x:c>
      <x:c r="S107" s="22" t="str">
        <x:v>Sí</x:v>
      </x:c>
      <x:c r="T107" s="24"/>
      <x:c r="U107" s="17" t="str">
        <x:v>https://graph.microsoft.com/v1.0/me/drive/items/01DHXXN7YJMCJUVPBWNJEJPJIH7B4OTAUR#page=40</x:v>
      </x:c>
      <x:c r="V107" s="17" t="str">
        <x:v>https://graph.microsoft.com/v1.0/me/drive/items/01DHXXN7YJMCJUVPBWNJEJPJIH7B4OTAUR</x:v>
      </x:c>
      <x:c r="W107" s="17" t="str">
        <x:v>0bb8df0dd9e614733dbe517e910735d4206d9bdb4b1fd5d9ab9b81e031e9b41b</x:v>
      </x:c>
      <x:c r="X107" s="17" t="str">
        <x:v>SKU no publicado; se conserva una identidad técnica estable.</x:v>
      </x:c>
    </x:row>
    <x:row r="108" ht="34" customHeight="1">
      <x:c r="A108" s="17" t="str">
        <x:v>IDÉLIKA</x:v>
      </x:c>
      <x:c r="B108" s="17" t="str">
        <x:v>Fabricacion</x:v>
      </x:c>
      <x:c r="C108" s="17" t="str">
        <x:v>1 CATALOGO FABRICACION 2026B.pdf</x:v>
      </x:c>
      <x:c r="D108" s="21" t="n">
        <x:v>40</x:v>
      </x:c>
      <x:c r="E108" s="17" t="str">
        <x:v>idelika:fabricacion:sin-sku:a9e19efbffe3af99922c</x:v>
      </x:c>
      <x:c r="F108" s="17"/>
      <x:c r="G108" s="22" t="str">
        <x:v>por_verificar</x:v>
      </x:c>
      <x:c r="H108" s="17" t="str">
        <x:v>Sacaleta Sillón</x:v>
      </x:c>
      <x:c r="I108" s="17"/>
      <x:c r="J108" s="17"/>
      <x:c r="K108" s="17" t="str">
        <x:v>Madera Maciza Eucalipto</x:v>
      </x:c>
      <x:c r="L108" s="17" t="str">
        <x:v>77*82*78</x:v>
      </x:c>
      <x:c r="M108" s="17" t="str">
        <x:v>Madera Maciza Eucalipto 77*82*78</x:v>
      </x:c>
      <x:c r="N108" s="22" t="str">
        <x:v>pieza</x:v>
      </x:c>
      <x:c r="O108" s="23" t="n">
        <x:v>16990</x:v>
      </x:c>
      <x:c r="P108" s="23" t="n">
        <x:v>18990</x:v>
      </x:c>
      <x:c r="Q108" s="17" t="str">
        <x:v>$18,990 – $16,990</x:v>
      </x:c>
      <x:c r="R108" s="22" t="str">
        <x:v>confirmado</x:v>
      </x:c>
      <x:c r="S108" s="22" t="str">
        <x:v>Sí</x:v>
      </x:c>
      <x:c r="T108" s="24"/>
      <x:c r="U108" s="17" t="str">
        <x:v>https://graph.microsoft.com/v1.0/me/drive/items/01DHXXN7YJMCJUVPBWNJEJPJIH7B4OTAUR#page=40</x:v>
      </x:c>
      <x:c r="V108" s="17" t="str">
        <x:v>https://graph.microsoft.com/v1.0/me/drive/items/01DHXXN7YJMCJUVPBWNJEJPJIH7B4OTAUR</x:v>
      </x:c>
      <x:c r="W108" s="17" t="str">
        <x:v>a9e19efbffe3af99922cc19be928955e8d1b90f7b96f0d90d1ebc0aae2455632</x:v>
      </x:c>
      <x:c r="X108" s="17" t="str">
        <x:v>SKU no publicado; se conserva una identidad técnica estable.</x:v>
      </x:c>
    </x:row>
    <x:row r="109" ht="34" customHeight="1">
      <x:c r="A109" s="17" t="str">
        <x:v>IDÉLIKA</x:v>
      </x:c>
      <x:c r="B109" s="17" t="str">
        <x:v>Fabricacion</x:v>
      </x:c>
      <x:c r="C109" s="17" t="str">
        <x:v>1 CATALOGO FABRICACION 2026B.pdf</x:v>
      </x:c>
      <x:c r="D109" s="21" t="n">
        <x:v>40</x:v>
      </x:c>
      <x:c r="E109" s="17" t="str">
        <x:v>idelika:fabricacion:sin-sku:7ba92c010b7822b29580</x:v>
      </x:c>
      <x:c r="F109" s="17"/>
      <x:c r="G109" s="22" t="str">
        <x:v>por_verificar</x:v>
      </x:c>
      <x:c r="H109" s="17" t="str">
        <x:v>Ulrich mesa comedor</x:v>
      </x:c>
      <x:c r="I109" s="17"/>
      <x:c r="J109" s="17"/>
      <x:c r="K109" s="17" t="str">
        <x:v>Patas de acero galvanizado y Cubierta de cemento negro</x:v>
      </x:c>
      <x:c r="L109" s="17" t="str">
        <x:v>75*75*75</x:v>
      </x:c>
      <x:c r="M109" s="17" t="str">
        <x:v>Patas de acero galvanizado y Cubierta de cemento negro 75*75*75 Calidad contract (uso rudo)</x:v>
      </x:c>
      <x:c r="N109" s="22" t="str">
        <x:v>pieza</x:v>
      </x:c>
      <x:c r="O109" s="23" t="n">
        <x:v>8990</x:v>
      </x:c>
      <x:c r="P109" s="23" t="n">
        <x:v>9990</x:v>
      </x:c>
      <x:c r="Q109" s="17" t="str">
        <x:v>$9,990 – $8,990</x:v>
      </x:c>
      <x:c r="R109" s="22" t="str">
        <x:v>confirmado</x:v>
      </x:c>
      <x:c r="S109" s="22" t="str">
        <x:v>Sí</x:v>
      </x:c>
      <x:c r="T109" s="24"/>
      <x:c r="U109" s="17" t="str">
        <x:v>https://graph.microsoft.com/v1.0/me/drive/items/01DHXXN7YJMCJUVPBWNJEJPJIH7B4OTAUR#page=40</x:v>
      </x:c>
      <x:c r="V109" s="17" t="str">
        <x:v>https://graph.microsoft.com/v1.0/me/drive/items/01DHXXN7YJMCJUVPBWNJEJPJIH7B4OTAUR</x:v>
      </x:c>
      <x:c r="W109" s="17" t="str">
        <x:v>7ba92c010b7822b29580793c1a3666ac02b87edacdfa07b4dc19b87488e5f5a7</x:v>
      </x:c>
      <x:c r="X109" s="17" t="str">
        <x:v>SKU no publicado; se conserva una identidad técnica estable.</x:v>
      </x:c>
    </x:row>
    <x:row r="110" ht="34" customHeight="1">
      <x:c r="A110" s="17" t="str">
        <x:v>IDÉLIKA</x:v>
      </x:c>
      <x:c r="B110" s="17" t="str">
        <x:v>Fabricacion</x:v>
      </x:c>
      <x:c r="C110" s="17" t="str">
        <x:v>1 CATALOGO FABRICACION 2026B.pdf</x:v>
      </x:c>
      <x:c r="D110" s="21" t="n">
        <x:v>40</x:v>
      </x:c>
      <x:c r="E110" s="17" t="str">
        <x:v>idelika:fabricacion:sin-sku:d12c3824021273e49d3f</x:v>
      </x:c>
      <x:c r="F110" s="17"/>
      <x:c r="G110" s="22" t="str">
        <x:v>por_verificar</x:v>
      </x:c>
      <x:c r="H110" s="17" t="str">
        <x:v>Silla Stad</x:v>
      </x:c>
      <x:c r="I110" s="17"/>
      <x:c r="J110" s="17"/>
      <x:c r="K110" s="17" t="str">
        <x:v>Patas de acero galvanizado y Cuerda marina cojinería loneta</x:v>
      </x:c>
      <x:c r="L110" s="17"/>
      <x:c r="M110" s="17" t="str">
        <x:v>Patas de acero galvanizado y Cuerda marina cojinería loneta Calidad contract (uso rudo)</x:v>
      </x:c>
      <x:c r="N110" s="22" t="str">
        <x:v>pieza</x:v>
      </x:c>
      <x:c r="O110" s="23" t="n">
        <x:v>3990</x:v>
      </x:c>
      <x:c r="P110" s="23" t="n">
        <x:v>4990</x:v>
      </x:c>
      <x:c r="Q110" s="17" t="str">
        <x:v>$4,990 – $3,990</x:v>
      </x:c>
      <x:c r="R110" s="22" t="str">
        <x:v>confirmado</x:v>
      </x:c>
      <x:c r="S110" s="22" t="str">
        <x:v>Sí</x:v>
      </x:c>
      <x:c r="T110" s="24"/>
      <x:c r="U110" s="17" t="str">
        <x:v>https://graph.microsoft.com/v1.0/me/drive/items/01DHXXN7YJMCJUVPBWNJEJPJIH7B4OTAUR#page=40</x:v>
      </x:c>
      <x:c r="V110" s="17" t="str">
        <x:v>https://graph.microsoft.com/v1.0/me/drive/items/01DHXXN7YJMCJUVPBWNJEJPJIH7B4OTAUR</x:v>
      </x:c>
      <x:c r="W110" s="17" t="str">
        <x:v>d12c3824021273e49d3f5f4491d95622f0a88477d45853b0df19fe01ecad9e7c</x:v>
      </x:c>
      <x:c r="X110" s="17" t="str">
        <x:v>SKU no publicado; se conserva una identidad técnica estable.</x:v>
      </x:c>
    </x:row>
    <x:row r="111" ht="34" customHeight="1">
      <x:c r="A111" s="17" t="str">
        <x:v>IDÉLIKA</x:v>
      </x:c>
      <x:c r="B111" s="17" t="str">
        <x:v>Fabricacion</x:v>
      </x:c>
      <x:c r="C111" s="17" t="str">
        <x:v>1 CATALOGO FABRICACION 2026B.pdf</x:v>
      </x:c>
      <x:c r="D111" s="21" t="n">
        <x:v>42</x:v>
      </x:c>
      <x:c r="E111" s="17" t="str">
        <x:v>idelika:fabricacion:sin-sku:e91f357082614796fc30</x:v>
      </x:c>
      <x:c r="F111" s="17"/>
      <x:c r="G111" s="22" t="str">
        <x:v>por_verificar</x:v>
      </x:c>
      <x:c r="H111" s="17" t="str">
        <x:v>Armada silla</x:v>
      </x:c>
      <x:c r="I111" s="17"/>
      <x:c r="J111" s="17" t="str">
        <x:v>exterior techado</x:v>
      </x:c>
      <x:c r="K111" s="17" t="str">
        <x:v>Acero con pintura electroestática cuerda de multifilamento</x:v>
      </x:c>
      <x:c r="L111" s="17" t="str">
        <x:v>Fabricación 41*50*77</x:v>
      </x:c>
      <x:c r="M111" s="17" t="str">
        <x:v>Acero con pintura electroestática cuerda de multifilamento</x:v>
      </x:c>
      <x:c r="N111" s="22" t="str">
        <x:v>pieza</x:v>
      </x:c>
      <x:c r="O111" s="23" t="n">
        <x:v>2399</x:v>
      </x:c>
      <x:c r="P111" s="23" t="n">
        <x:v>2599</x:v>
      </x:c>
      <x:c r="Q111" s="17" t="str">
        <x:v>$2,599 – $2,399 exterior techado</x:v>
      </x:c>
      <x:c r="R111" s="22" t="str">
        <x:v>confirmado</x:v>
      </x:c>
      <x:c r="S111" s="22" t="str">
        <x:v>Sí</x:v>
      </x:c>
      <x:c r="T111" s="24"/>
      <x:c r="U111" s="17" t="str">
        <x:v>https://graph.microsoft.com/v1.0/me/drive/items/01DHXXN7YJMCJUVPBWNJEJPJIH7B4OTAUR#page=42</x:v>
      </x:c>
      <x:c r="V111" s="17" t="str">
        <x:v>https://graph.microsoft.com/v1.0/me/drive/items/01DHXXN7YJMCJUVPBWNJEJPJIH7B4OTAUR</x:v>
      </x:c>
      <x:c r="W111" s="17" t="str">
        <x:v>e91f357082614796fc301aba659a7f507df61156b93952e30b76c96f23d486a5</x:v>
      </x:c>
      <x:c r="X111" s="17" t="str">
        <x:v>SKU no publicado; se conserva una identidad técnica estable.</x:v>
      </x:c>
    </x:row>
    <x:row r="112" ht="34" customHeight="1">
      <x:c r="A112" s="17" t="str">
        <x:v>IDÉLIKA</x:v>
      </x:c>
      <x:c r="B112" s="17" t="str">
        <x:v>Fabricacion</x:v>
      </x:c>
      <x:c r="C112" s="17" t="str">
        <x:v>1 CATALOGO FABRICACION 2026B.pdf</x:v>
      </x:c>
      <x:c r="D112" s="21" t="n">
        <x:v>42</x:v>
      </x:c>
      <x:c r="E112" s="17" t="str">
        <x:v>idelika:fabricacion:sin-sku:7bd8120801b703614bd3</x:v>
      </x:c>
      <x:c r="F112" s="17"/>
      <x:c r="G112" s="22" t="str">
        <x:v>por_verificar</x:v>
      </x:c>
      <x:c r="H112" s="17" t="str">
        <x:v>Huasteca silla</x:v>
      </x:c>
      <x:c r="I112" s="17"/>
      <x:c r="J112" s="17" t="str">
        <x:v>sin cojín</x:v>
      </x:c>
      <x:c r="K112" s="17"/>
      <x:c r="L112" s="17" t="str">
        <x:v>Fabricación 69*59*79</x:v>
      </x:c>
      <x:c r="M112" s="17" t="str">
        <x:v>Huasteca silla</x:v>
      </x:c>
      <x:c r="N112" s="22" t="str">
        <x:v>pieza</x:v>
      </x:c>
      <x:c r="O112" s="23" t="n">
        <x:v>2999</x:v>
      </x:c>
      <x:c r="P112" s="23" t="n">
        <x:v>3599</x:v>
      </x:c>
      <x:c r="Q112" s="17" t="str">
        <x:v>$3,599 – $2,999 sin cojín</x:v>
      </x:c>
      <x:c r="R112" s="22" t="str">
        <x:v>confirmado</x:v>
      </x:c>
      <x:c r="S112" s="22" t="str">
        <x:v>Sí</x:v>
      </x:c>
      <x:c r="T112" s="24"/>
      <x:c r="U112" s="17" t="str">
        <x:v>https://graph.microsoft.com/v1.0/me/drive/items/01DHXXN7YJMCJUVPBWNJEJPJIH7B4OTAUR#page=42</x:v>
      </x:c>
      <x:c r="V112" s="17" t="str">
        <x:v>https://graph.microsoft.com/v1.0/me/drive/items/01DHXXN7YJMCJUVPBWNJEJPJIH7B4OTAUR</x:v>
      </x:c>
      <x:c r="W112" s="17" t="str">
        <x:v>7bd8120801b703614bd3eeee698995d01c67e41790464369e99c8b67bc92596c</x:v>
      </x:c>
      <x:c r="X112" s="17" t="str">
        <x:v>SKU no publicado; se conserva una identidad técnica estable.</x:v>
      </x:c>
    </x:row>
    <x:row r="113" ht="34" customHeight="1">
      <x:c r="A113" s="17" t="str">
        <x:v>IDÉLIKA</x:v>
      </x:c>
      <x:c r="B113" s="17" t="str">
        <x:v>Fabricacion</x:v>
      </x:c>
      <x:c r="C113" s="17" t="str">
        <x:v>1 CATALOGO FABRICACION 2026B.pdf</x:v>
      </x:c>
      <x:c r="D113" s="21" t="n">
        <x:v>42</x:v>
      </x:c>
      <x:c r="E113" s="17" t="str">
        <x:v>idelika:fabricacion:sin-sku:ac05650399fc180c89e3</x:v>
      </x:c>
      <x:c r="F113" s="17"/>
      <x:c r="G113" s="22" t="str">
        <x:v>por_verificar</x:v>
      </x:c>
      <x:c r="H113" s="17" t="str">
        <x:v>Huasteca silla</x:v>
      </x:c>
      <x:c r="I113" s="17"/>
      <x:c r="J113" s="17" t="str">
        <x:v>con cojín</x:v>
      </x:c>
      <x:c r="K113" s="17"/>
      <x:c r="L113" s="17"/>
      <x:c r="M113" s="17" t="str">
        <x:v>Huasteca silla</x:v>
      </x:c>
      <x:c r="N113" s="22" t="str">
        <x:v>pieza</x:v>
      </x:c>
      <x:c r="O113" s="23" t="n">
        <x:v>3399</x:v>
      </x:c>
      <x:c r="P113" s="23" t="n">
        <x:v>3899</x:v>
      </x:c>
      <x:c r="Q113" s="17" t="str">
        <x:v>$3,899 – $3,399 con cojín</x:v>
      </x:c>
      <x:c r="R113" s="22" t="str">
        <x:v>confirmado</x:v>
      </x:c>
      <x:c r="S113" s="22" t="str">
        <x:v>Sí</x:v>
      </x:c>
      <x:c r="T113" s="24"/>
      <x:c r="U113" s="17" t="str">
        <x:v>https://graph.microsoft.com/v1.0/me/drive/items/01DHXXN7YJMCJUVPBWNJEJPJIH7B4OTAUR#page=42</x:v>
      </x:c>
      <x:c r="V113" s="17" t="str">
        <x:v>https://graph.microsoft.com/v1.0/me/drive/items/01DHXXN7YJMCJUVPBWNJEJPJIH7B4OTAUR</x:v>
      </x:c>
      <x:c r="W113" s="17" t="str">
        <x:v>ac05650399fc180c89e34dca12c77048edb16ee10a78cfd64ed2f8ebf32ab85d</x:v>
      </x:c>
      <x:c r="X113" s="17" t="str">
        <x:v>SKU no publicado; se conserva una identidad técnica estable.</x:v>
      </x:c>
    </x:row>
    <x:row r="114" ht="34" customHeight="1">
      <x:c r="A114" s="17" t="str">
        <x:v>IDÉLIKA</x:v>
      </x:c>
      <x:c r="B114" s="17" t="str">
        <x:v>Fabricacion</x:v>
      </x:c>
      <x:c r="C114" s="17" t="str">
        <x:v>1 CATALOGO FABRICACION 2026B.pdf</x:v>
      </x:c>
      <x:c r="D114" s="21" t="n">
        <x:v>42</x:v>
      </x:c>
      <x:c r="E114" s="17" t="str">
        <x:v>idelika:fabricacion:sin-sku:a3c972a013ba8e9bade3</x:v>
      </x:c>
      <x:c r="F114" s="17"/>
      <x:c r="G114" s="22" t="str">
        <x:v>por_verificar</x:v>
      </x:c>
      <x:c r="H114" s="17" t="str">
        <x:v>San Luis silla</x:v>
      </x:c>
      <x:c r="I114" s="17"/>
      <x:c r="J114" s="17" t="str">
        <x:v>exterior techado</x:v>
      </x:c>
      <x:c r="K114" s="17" t="str">
        <x:v>Acero con pintura electroestática cuerda de multifilamento</x:v>
      </x:c>
      <x:c r="L114" s="17" t="str">
        <x:v>Fabricación 69*59*79</x:v>
      </x:c>
      <x:c r="M114" s="17" t="str">
        <x:v>Acero con pintura electroestática cuerda de multifilamento</x:v>
      </x:c>
      <x:c r="N114" s="22" t="str">
        <x:v>pieza</x:v>
      </x:c>
      <x:c r="O114" s="23" t="n">
        <x:v>2999</x:v>
      </x:c>
      <x:c r="P114" s="23" t="n">
        <x:v>3599</x:v>
      </x:c>
      <x:c r="Q114" s="17" t="str">
        <x:v>$3,599 – $2,999 exterior techado</x:v>
      </x:c>
      <x:c r="R114" s="22" t="str">
        <x:v>confirmado</x:v>
      </x:c>
      <x:c r="S114" s="22" t="str">
        <x:v>Sí</x:v>
      </x:c>
      <x:c r="T114" s="24"/>
      <x:c r="U114" s="17" t="str">
        <x:v>https://graph.microsoft.com/v1.0/me/drive/items/01DHXXN7YJMCJUVPBWNJEJPJIH7B4OTAUR#page=42</x:v>
      </x:c>
      <x:c r="V114" s="17" t="str">
        <x:v>https://graph.microsoft.com/v1.0/me/drive/items/01DHXXN7YJMCJUVPBWNJEJPJIH7B4OTAUR</x:v>
      </x:c>
      <x:c r="W114" s="17" t="str">
        <x:v>a3c972a013ba8e9bade38fb7c2ac5c2193ce9a9985855174bd2145ef9c78197d</x:v>
      </x:c>
      <x:c r="X114" s="17" t="str">
        <x:v>SKU no publicado; se conserva una identidad técnica estable.</x:v>
      </x:c>
    </x:row>
    <x:row r="115" ht="34" customHeight="1">
      <x:c r="A115" s="17" t="str">
        <x:v>IDÉLIKA</x:v>
      </x:c>
      <x:c r="B115" s="17" t="str">
        <x:v>Fabricacion</x:v>
      </x:c>
      <x:c r="C115" s="17" t="str">
        <x:v>1 CATALOGO FABRICACION 2026B.pdf</x:v>
      </x:c>
      <x:c r="D115" s="21" t="n">
        <x:v>43</x:v>
      </x:c>
      <x:c r="E115" s="17" t="str">
        <x:v>idelika:fabricacion:sin-sku:abf9fde6152a324254fc</x:v>
      </x:c>
      <x:c r="F115" s="17"/>
      <x:c r="G115" s="22" t="str">
        <x:v>por_verificar</x:v>
      </x:c>
      <x:c r="H115" s="17" t="str">
        <x:v>Arandas silla</x:v>
      </x:c>
      <x:c r="I115" s="17"/>
      <x:c r="J115" s="17" t="str">
        <x:v>exterior techado</x:v>
      </x:c>
      <x:c r="K115" s="17" t="str">
        <x:v>Acero con pintura electroestática cuerda de multifilamento (con cojín)</x:v>
      </x:c>
      <x:c r="L115" s="17" t="str">
        <x:v>Fabricación 69*69*79</x:v>
      </x:c>
      <x:c r="M115" s="17" t="str">
        <x:v>Acero con pintura electroestática cuerda de multifilamento (con cojín)</x:v>
      </x:c>
      <x:c r="N115" s="22" t="str">
        <x:v>pieza</x:v>
      </x:c>
      <x:c r="O115" s="23" t="n">
        <x:v>3199</x:v>
      </x:c>
      <x:c r="P115" s="23" t="n">
        <x:v>3599</x:v>
      </x:c>
      <x:c r="Q115" s="17" t="str">
        <x:v>$3,599 – $3,199 exterior techado</x:v>
      </x:c>
      <x:c r="R115" s="22" t="str">
        <x:v>confirmado</x:v>
      </x:c>
      <x:c r="S115" s="22" t="str">
        <x:v>Sí</x:v>
      </x:c>
      <x:c r="T115" s="24"/>
      <x:c r="U115" s="17" t="str">
        <x:v>https://graph.microsoft.com/v1.0/me/drive/items/01DHXXN7YJMCJUVPBWNJEJPJIH7B4OTAUR#page=43</x:v>
      </x:c>
      <x:c r="V115" s="17" t="str">
        <x:v>https://graph.microsoft.com/v1.0/me/drive/items/01DHXXN7YJMCJUVPBWNJEJPJIH7B4OTAUR</x:v>
      </x:c>
      <x:c r="W115" s="17" t="str">
        <x:v>abf9fde6152a324254fc6f8ee008801bea1eef35d79b825dcaed108dcd02cada</x:v>
      </x:c>
      <x:c r="X115" s="17" t="str">
        <x:v>SKU no publicado; se conserva una identidad técnica estable.</x:v>
      </x:c>
    </x:row>
    <x:row r="116" ht="34" customHeight="1">
      <x:c r="A116" s="17" t="str">
        <x:v>IDÉLIKA</x:v>
      </x:c>
      <x:c r="B116" s="17" t="str">
        <x:v>Fabricacion</x:v>
      </x:c>
      <x:c r="C116" s="17" t="str">
        <x:v>1 CATALOGO FABRICACION 2026B.pdf</x:v>
      </x:c>
      <x:c r="D116" s="21" t="n">
        <x:v>43</x:v>
      </x:c>
      <x:c r="E116" s="17" t="str">
        <x:v>idelika:fabricacion:sin-sku:aec41e1a3ddb3002ca40</x:v>
      </x:c>
      <x:c r="F116" s="17"/>
      <x:c r="G116" s="22" t="str">
        <x:v>por_verificar</x:v>
      </x:c>
      <x:c r="H116" s="17" t="str">
        <x:v>Autlán silla</x:v>
      </x:c>
      <x:c r="I116" s="17"/>
      <x:c r="J116" s="17" t="str">
        <x:v>exterior techado</x:v>
      </x:c>
      <x:c r="K116" s="17" t="str">
        <x:v>Acero con pintura electroestática Ratán sintético (con cojínes)</x:v>
      </x:c>
      <x:c r="L116" s="17" t="str">
        <x:v>Fabricación 69*69*79</x:v>
      </x:c>
      <x:c r="M116" s="17" t="str">
        <x:v>Acero con pintura electroestática Ratán sintético (con cojínes)</x:v>
      </x:c>
      <x:c r="N116" s="22" t="str">
        <x:v>pieza</x:v>
      </x:c>
      <x:c r="O116" s="23" t="n">
        <x:v>3599</x:v>
      </x:c>
      <x:c r="P116" s="23" t="n">
        <x:v>3999</x:v>
      </x:c>
      <x:c r="Q116" s="17" t="str">
        <x:v>$3,599 – $3,999 exterior techado</x:v>
      </x:c>
      <x:c r="R116" s="22" t="str">
        <x:v>confirmado</x:v>
      </x:c>
      <x:c r="S116" s="22" t="str">
        <x:v>Sí</x:v>
      </x:c>
      <x:c r="T116" s="24"/>
      <x:c r="U116" s="17" t="str">
        <x:v>https://graph.microsoft.com/v1.0/me/drive/items/01DHXXN7YJMCJUVPBWNJEJPJIH7B4OTAUR#page=43</x:v>
      </x:c>
      <x:c r="V116" s="17" t="str">
        <x:v>https://graph.microsoft.com/v1.0/me/drive/items/01DHXXN7YJMCJUVPBWNJEJPJIH7B4OTAUR</x:v>
      </x:c>
      <x:c r="W116" s="17" t="str">
        <x:v>aec41e1a3ddb3002ca4090697623526c36e0e2eb353afcf57b31d24438b95d4d</x:v>
      </x:c>
      <x:c r="X116" s="17" t="str">
        <x:v>SKU no publicado; se conserva una identidad técnica estable.</x:v>
      </x:c>
    </x:row>
    <x:row r="117" ht="34" customHeight="1">
      <x:c r="A117" s="17" t="str">
        <x:v>IDÉLIKA</x:v>
      </x:c>
      <x:c r="B117" s="17" t="str">
        <x:v>Fabricacion</x:v>
      </x:c>
      <x:c r="C117" s="17" t="str">
        <x:v>1 CATALOGO FABRICACION 2026B.pdf</x:v>
      </x:c>
      <x:c r="D117" s="21" t="n">
        <x:v>43</x:v>
      </x:c>
      <x:c r="E117" s="17" t="str">
        <x:v>idelika:fabricacion:sin-sku:142c7fb430b9757ed26e</x:v>
      </x:c>
      <x:c r="F117" s="17"/>
      <x:c r="G117" s="22" t="str">
        <x:v>por_verificar</x:v>
      </x:c>
      <x:c r="H117" s="17" t="str">
        <x:v>Ameca silla</x:v>
      </x:c>
      <x:c r="I117" s="17"/>
      <x:c r="J117" s="17" t="str">
        <x:v>exterior techado</x:v>
      </x:c>
      <x:c r="K117" s="17" t="str">
        <x:v>Acero con pintura electroestática Cuerda de multifilamento</x:v>
      </x:c>
      <x:c r="L117" s="17" t="str">
        <x:v>Fabricación 69*69*79</x:v>
      </x:c>
      <x:c r="M117" s="17" t="str">
        <x:v>Acero con pintura electroestática Cuerda de multifilamento</x:v>
      </x:c>
      <x:c r="N117" s="22" t="str">
        <x:v>pieza</x:v>
      </x:c>
      <x:c r="O117" s="23" t="n">
        <x:v>2599</x:v>
      </x:c>
      <x:c r="P117" s="23" t="n">
        <x:v>2799</x:v>
      </x:c>
      <x:c r="Q117" s="17" t="str">
        <x:v>$2,799 – $2,599 exterior techado</x:v>
      </x:c>
      <x:c r="R117" s="22" t="str">
        <x:v>confirmado</x:v>
      </x:c>
      <x:c r="S117" s="22" t="str">
        <x:v>Sí</x:v>
      </x:c>
      <x:c r="T117" s="24"/>
      <x:c r="U117" s="17" t="str">
        <x:v>https://graph.microsoft.com/v1.0/me/drive/items/01DHXXN7YJMCJUVPBWNJEJPJIH7B4OTAUR#page=43</x:v>
      </x:c>
      <x:c r="V117" s="17" t="str">
        <x:v>https://graph.microsoft.com/v1.0/me/drive/items/01DHXXN7YJMCJUVPBWNJEJPJIH7B4OTAUR</x:v>
      </x:c>
      <x:c r="W117" s="17" t="str">
        <x:v>142c7fb430b9757ed26e65f14aa9063e8b686da4b97fbb378591369546b50f8b</x:v>
      </x:c>
      <x:c r="X117" s="17" t="str">
        <x:v>SKU no publicado; se conserva una identidad técnica estable.</x:v>
      </x:c>
    </x:row>
    <x:row r="118" ht="34" customHeight="1">
      <x:c r="A118" s="17" t="str">
        <x:v>IDÉLIKA</x:v>
      </x:c>
      <x:c r="B118" s="17" t="str">
        <x:v>Fabricacion</x:v>
      </x:c>
      <x:c r="C118" s="17" t="str">
        <x:v>1 CATALOGO FABRICACION 2026B.pdf</x:v>
      </x:c>
      <x:c r="D118" s="21" t="n">
        <x:v>44</x:v>
      </x:c>
      <x:c r="E118" s="17" t="str">
        <x:v>idelika:fabricacion:sin-sku:749ca7c9debfa3b8b74a</x:v>
      </x:c>
      <x:c r="F118" s="17"/>
      <x:c r="G118" s="22" t="str">
        <x:v>por_verificar</x:v>
      </x:c>
      <x:c r="H118" s="17" t="str">
        <x:v>Bolaños silla</x:v>
      </x:c>
      <x:c r="I118" s="17"/>
      <x:c r="J118" s="17" t="str">
        <x:v>exterior techado</x:v>
      </x:c>
      <x:c r="K118" s="17" t="str">
        <x:v>Acero con pintura electroestática cuerda de multifilamento</x:v>
      </x:c>
      <x:c r="L118" s="17" t="str">
        <x:v>Fabricación 59*69*79</x:v>
      </x:c>
      <x:c r="M118" s="17" t="str">
        <x:v>Acero con pintura electroestática cuerda de multifilamento</x:v>
      </x:c>
      <x:c r="N118" s="22" t="str">
        <x:v>pieza</x:v>
      </x:c>
      <x:c r="O118" s="23" t="n">
        <x:v>3399</x:v>
      </x:c>
      <x:c r="P118" s="23" t="n">
        <x:v>3599</x:v>
      </x:c>
      <x:c r="Q118" s="17" t="str">
        <x:v>$3,599 – $3,399 exterior techado</x:v>
      </x:c>
      <x:c r="R118" s="22" t="str">
        <x:v>confirmado</x:v>
      </x:c>
      <x:c r="S118" s="22" t="str">
        <x:v>Sí</x:v>
      </x:c>
      <x:c r="T118" s="24"/>
      <x:c r="U118" s="17" t="str">
        <x:v>https://graph.microsoft.com/v1.0/me/drive/items/01DHXXN7YJMCJUVPBWNJEJPJIH7B4OTAUR#page=44</x:v>
      </x:c>
      <x:c r="V118" s="17" t="str">
        <x:v>https://graph.microsoft.com/v1.0/me/drive/items/01DHXXN7YJMCJUVPBWNJEJPJIH7B4OTAUR</x:v>
      </x:c>
      <x:c r="W118" s="17" t="str">
        <x:v>749ca7c9debfa3b8b74aa298c7793a9ceb9d5087e6a4f1883cd83527809d4984</x:v>
      </x:c>
      <x:c r="X118" s="17" t="str">
        <x:v>SKU no publicado; se conserva una identidad técnica estable.</x:v>
      </x:c>
    </x:row>
    <x:row r="119" ht="34" customHeight="1">
      <x:c r="A119" s="17" t="str">
        <x:v>IDÉLIKA</x:v>
      </x:c>
      <x:c r="B119" s="17" t="str">
        <x:v>Fabricacion</x:v>
      </x:c>
      <x:c r="C119" s="17" t="str">
        <x:v>1 CATALOGO FABRICACION 2026B.pdf</x:v>
      </x:c>
      <x:c r="D119" s="21" t="n">
        <x:v>44</x:v>
      </x:c>
      <x:c r="E119" s="17" t="str">
        <x:v>idelika:fabricacion:sin-sku:d34a0b8cb373ac614a2d</x:v>
      </x:c>
      <x:c r="F119" s="17"/>
      <x:c r="G119" s="22" t="str">
        <x:v>por_verificar</x:v>
      </x:c>
      <x:c r="H119" s="17" t="str">
        <x:v>Jalisco columpio</x:v>
      </x:c>
      <x:c r="I119" s="17"/>
      <x:c r="J119" s="17" t="str">
        <x:v>exterior techado</x:v>
      </x:c>
      <x:c r="K119" s="17" t="str">
        <x:v>Acero con pintura electroestática Cuerda de multifilamento y tela</x:v>
      </x:c>
      <x:c r="L119" s="17" t="str">
        <x:v>Fabricación 45*62*40</x:v>
      </x:c>
      <x:c r="M119" s="17" t="str">
        <x:v>Acero con pintura electroestática Cuerda de multifilamento y tela San Miguel</x:v>
      </x:c>
      <x:c r="N119" s="22" t="str">
        <x:v>pieza</x:v>
      </x:c>
      <x:c r="O119" s="23" t="n">
        <x:v>2699</x:v>
      </x:c>
      <x:c r="P119" s="23" t="n">
        <x:v>2999</x:v>
      </x:c>
      <x:c r="Q119" s="17" t="str">
        <x:v>$2,999 – $2,699 exterior techado</x:v>
      </x:c>
      <x:c r="R119" s="22" t="str">
        <x:v>confirmado</x:v>
      </x:c>
      <x:c r="S119" s="22" t="str">
        <x:v>Sí</x:v>
      </x:c>
      <x:c r="T119" s="24"/>
      <x:c r="U119" s="17" t="str">
        <x:v>https://graph.microsoft.com/v1.0/me/drive/items/01DHXXN7YJMCJUVPBWNJEJPJIH7B4OTAUR#page=44</x:v>
      </x:c>
      <x:c r="V119" s="17" t="str">
        <x:v>https://graph.microsoft.com/v1.0/me/drive/items/01DHXXN7YJMCJUVPBWNJEJPJIH7B4OTAUR</x:v>
      </x:c>
      <x:c r="W119" s="17" t="str">
        <x:v>d34a0b8cb373ac614a2d7089d49f9384247f0b1d36c1e17c8564c8e8f8159f68</x:v>
      </x:c>
      <x:c r="X119" s="17" t="str">
        <x:v>SKU no publicado; se conserva una identidad técnica estable.</x:v>
      </x:c>
    </x:row>
    <x:row r="120" ht="34" customHeight="1">
      <x:c r="A120" s="17" t="str">
        <x:v>IDÉLIKA</x:v>
      </x:c>
      <x:c r="B120" s="17" t="str">
        <x:v>Fabricacion</x:v>
      </x:c>
      <x:c r="C120" s="17" t="str">
        <x:v>1 CATALOGO FABRICACION 2026B.pdf</x:v>
      </x:c>
      <x:c r="D120" s="21" t="n">
        <x:v>44</x:v>
      </x:c>
      <x:c r="E120" s="17" t="str">
        <x:v>idelika:fabricacion:sin-sku:c85884f71f162d44e4c8</x:v>
      </x:c>
      <x:c r="F120" s="17"/>
      <x:c r="G120" s="22" t="str">
        <x:v>por_verificar</x:v>
      </x:c>
      <x:c r="H120" s="17" t="str">
        <x:v>Jalisco columpio</x:v>
      </x:c>
      <x:c r="I120" s="17"/>
      <x:c r="J120" s="17" t="str">
        <x:v>exterior techado</x:v>
      </x:c>
      <x:c r="K120" s="17" t="str">
        <x:v>Acero con pintura electroestática Cuerda de multifilamento y tela</x:v>
      </x:c>
      <x:c r="L120" s="17" t="str">
        <x:v>Fabricación 55*55*80</x:v>
      </x:c>
      <x:c r="M120" s="17" t="str">
        <x:v>Acero con pintura electroestática Cuerda de multifilamento y tela San Miguel</x:v>
      </x:c>
      <x:c r="N120" s="22" t="str">
        <x:v>pieza</x:v>
      </x:c>
      <x:c r="O120" s="23" t="n">
        <x:v>3299</x:v>
      </x:c>
      <x:c r="P120" s="23" t="n">
        <x:v>3999</x:v>
      </x:c>
      <x:c r="Q120" s="17" t="str">
        <x:v>$3,999 – $3,299 exterior techado</x:v>
      </x:c>
      <x:c r="R120" s="22" t="str">
        <x:v>confirmado</x:v>
      </x:c>
      <x:c r="S120" s="22" t="str">
        <x:v>Sí</x:v>
      </x:c>
      <x:c r="T120" s="24"/>
      <x:c r="U120" s="17" t="str">
        <x:v>https://graph.microsoft.com/v1.0/me/drive/items/01DHXXN7YJMCJUVPBWNJEJPJIH7B4OTAUR#page=44</x:v>
      </x:c>
      <x:c r="V120" s="17" t="str">
        <x:v>https://graph.microsoft.com/v1.0/me/drive/items/01DHXXN7YJMCJUVPBWNJEJPJIH7B4OTAUR</x:v>
      </x:c>
      <x:c r="W120" s="17" t="str">
        <x:v>c85884f71f162d44e4c816b6553a5c8fedad1ade9078e0065e27562c228a05f0</x:v>
      </x:c>
      <x:c r="X120" s="17" t="str">
        <x:v>SKU no publicado; se conserva una identidad técnica estable.</x:v>
      </x:c>
    </x:row>
    <x:row r="121" ht="34" customHeight="1">
      <x:c r="A121" s="17" t="str">
        <x:v>IDÉLIKA</x:v>
      </x:c>
      <x:c r="B121" s="17" t="str">
        <x:v>Fabricacion</x:v>
      </x:c>
      <x:c r="C121" s="17" t="str">
        <x:v>1 CATALOGO FABRICACION 2026B.pdf</x:v>
      </x:c>
      <x:c r="D121" s="21" t="n">
        <x:v>44</x:v>
      </x:c>
      <x:c r="E121" s="17" t="str">
        <x:v>idelika:fabricacion:sin-sku:eb4b9720bb5ee8b94e11</x:v>
      </x:c>
      <x:c r="F121" s="17"/>
      <x:c r="G121" s="22" t="str">
        <x:v>por_verificar</x:v>
      </x:c>
      <x:c r="H121" s="17" t="str">
        <x:v>Jalisco columpio</x:v>
      </x:c>
      <x:c r="I121" s="17"/>
      <x:c r="J121" s="17" t="str">
        <x:v>exterior 100%</x:v>
      </x:c>
      <x:c r="K121" s="17" t="str">
        <x:v>Acero con pintura electroestática Cuerda de multifilamento y tela</x:v>
      </x:c>
      <x:c r="L121" s="17"/>
      <x:c r="M121" s="17" t="str">
        <x:v>Acero con pintura electroestática Cuerda de multifilamento y tela San Miguel</x:v>
      </x:c>
      <x:c r="N121" s="22" t="str">
        <x:v>pieza</x:v>
      </x:c>
      <x:c r="O121" s="23" t="n">
        <x:v>3999</x:v>
      </x:c>
      <x:c r="P121" s="23" t="n">
        <x:v>4699</x:v>
      </x:c>
      <x:c r="Q121" s="17" t="str">
        <x:v>$4,699 – $3,999 exterior 100%</x:v>
      </x:c>
      <x:c r="R121" s="22" t="str">
        <x:v>confirmado</x:v>
      </x:c>
      <x:c r="S121" s="22" t="str">
        <x:v>Sí</x:v>
      </x:c>
      <x:c r="T121" s="24"/>
      <x:c r="U121" s="17" t="str">
        <x:v>https://graph.microsoft.com/v1.0/me/drive/items/01DHXXN7YJMCJUVPBWNJEJPJIH7B4OTAUR#page=44</x:v>
      </x:c>
      <x:c r="V121" s="17" t="str">
        <x:v>https://graph.microsoft.com/v1.0/me/drive/items/01DHXXN7YJMCJUVPBWNJEJPJIH7B4OTAUR</x:v>
      </x:c>
      <x:c r="W121" s="17" t="str">
        <x:v>eb4b9720bb5ee8b94e118bba9a2682d2c369ab44433957ee77febe31cd117eff</x:v>
      </x:c>
      <x:c r="X121" s="17" t="str">
        <x:v>SKU no publicado; se conserva una identidad técnica estable.</x:v>
      </x:c>
    </x:row>
    <x:row r="122" ht="34" customHeight="1">
      <x:c r="A122" s="17" t="str">
        <x:v>IDÉLIKA</x:v>
      </x:c>
      <x:c r="B122" s="17" t="str">
        <x:v>Fabricacion</x:v>
      </x:c>
      <x:c r="C122" s="17" t="str">
        <x:v>1 CATALOGO FABRICACION 2026B.pdf</x:v>
      </x:c>
      <x:c r="D122" s="21" t="n">
        <x:v>45</x:v>
      </x:c>
      <x:c r="E122" s="17" t="str">
        <x:v>idelika:fabricacion:sin-sku:edd50146d61589b95693</x:v>
      </x:c>
      <x:c r="F122" s="17"/>
      <x:c r="G122" s="22" t="str">
        <x:v>por_verificar</x:v>
      </x:c>
      <x:c r="H122" s="17" t="str">
        <x:v>Colima silla</x:v>
      </x:c>
      <x:c r="I122" s="17"/>
      <x:c r="J122" s="17" t="str">
        <x:v>exterior techado</x:v>
      </x:c>
      <x:c r="K122" s="17" t="str">
        <x:v>Acero con pintura electroestática cuerda de multifilamento</x:v>
      </x:c>
      <x:c r="L122" s="17" t="str">
        <x:v>Fabricación 59*50*82</x:v>
      </x:c>
      <x:c r="M122" s="17" t="str">
        <x:v>Acero con pintura electroestática cuerda de multifilamento</x:v>
      </x:c>
      <x:c r="N122" s="22" t="str">
        <x:v>pieza</x:v>
      </x:c>
      <x:c r="O122" s="23" t="n">
        <x:v>6990</x:v>
      </x:c>
      <x:c r="P122" s="23" t="n">
        <x:v>7599</x:v>
      </x:c>
      <x:c r="Q122" s="17" t="str">
        <x:v>$7,599 – $6,990 exterior techado</x:v>
      </x:c>
      <x:c r="R122" s="22" t="str">
        <x:v>confirmado</x:v>
      </x:c>
      <x:c r="S122" s="22" t="str">
        <x:v>Sí</x:v>
      </x:c>
      <x:c r="T122" s="24"/>
      <x:c r="U122" s="17" t="str">
        <x:v>https://graph.microsoft.com/v1.0/me/drive/items/01DHXXN7YJMCJUVPBWNJEJPJIH7B4OTAUR#page=45</x:v>
      </x:c>
      <x:c r="V122" s="17" t="str">
        <x:v>https://graph.microsoft.com/v1.0/me/drive/items/01DHXXN7YJMCJUVPBWNJEJPJIH7B4OTAUR</x:v>
      </x:c>
      <x:c r="W122" s="17" t="str">
        <x:v>edd50146d61589b95693a7acdde6b1993a25a2134794ef370ff045cb2b297337</x:v>
      </x:c>
      <x:c r="X122" s="17" t="str">
        <x:v>SKU no publicado; se conserva una identidad técnica estable.</x:v>
      </x:c>
    </x:row>
    <x:row r="123" ht="34" customHeight="1">
      <x:c r="A123" s="17" t="str">
        <x:v>IDÉLIKA</x:v>
      </x:c>
      <x:c r="B123" s="17" t="str">
        <x:v>Fabricacion</x:v>
      </x:c>
      <x:c r="C123" s="17" t="str">
        <x:v>1 CATALOGO FABRICACION 2026B.pdf</x:v>
      </x:c>
      <x:c r="D123" s="21" t="n">
        <x:v>45</x:v>
      </x:c>
      <x:c r="E123" s="17" t="str">
        <x:v>idelika:fabricacion:sin-sku:086a4281c810fa5501b2</x:v>
      </x:c>
      <x:c r="F123" s="17"/>
      <x:c r="G123" s="22" t="str">
        <x:v>por_verificar</x:v>
      </x:c>
      <x:c r="H123" s="17" t="str">
        <x:v>Mayan banco y silla</x:v>
      </x:c>
      <x:c r="I123" s="17"/>
      <x:c r="J123" s="17" t="str">
        <x:v>banco</x:v>
      </x:c>
      <x:c r="K123" s="17" t="str">
        <x:v>Acero y cuerda</x:v>
      </x:c>
      <x:c r="L123" s="17" t="str">
        <x:v>Fabricación 35*35*96 banco *76 silñla</x:v>
      </x:c>
      <x:c r="M123" s="17" t="str">
        <x:v>Acero y cuerda</x:v>
      </x:c>
      <x:c r="N123" s="22" t="str">
        <x:v>pieza</x:v>
      </x:c>
      <x:c r="O123" s="23" t="n">
        <x:v>1799</x:v>
      </x:c>
      <x:c r="P123" s="23" t="n">
        <x:v>1999</x:v>
      </x:c>
      <x:c r="Q123" s="17" t="str">
        <x:v>$1,999 – $1,799 banco</x:v>
      </x:c>
      <x:c r="R123" s="22" t="str">
        <x:v>confirmado</x:v>
      </x:c>
      <x:c r="S123" s="22" t="str">
        <x:v>Sí</x:v>
      </x:c>
      <x:c r="T123" s="24"/>
      <x:c r="U123" s="17" t="str">
        <x:v>https://graph.microsoft.com/v1.0/me/drive/items/01DHXXN7YJMCJUVPBWNJEJPJIH7B4OTAUR#page=45</x:v>
      </x:c>
      <x:c r="V123" s="17" t="str">
        <x:v>https://graph.microsoft.com/v1.0/me/drive/items/01DHXXN7YJMCJUVPBWNJEJPJIH7B4OTAUR</x:v>
      </x:c>
      <x:c r="W123" s="17" t="str">
        <x:v>086a4281c810fa5501b25586d4c3d4944881da2e2296d6871019587a436e38a7</x:v>
      </x:c>
      <x:c r="X123" s="17" t="str">
        <x:v>SKU no publicado; se conserva una identidad técnica estable.</x:v>
      </x:c>
    </x:row>
    <x:row r="124" ht="34" customHeight="1">
      <x:c r="A124" s="17" t="str">
        <x:v>IDÉLIKA</x:v>
      </x:c>
      <x:c r="B124" s="17" t="str">
        <x:v>Fabricacion</x:v>
      </x:c>
      <x:c r="C124" s="17" t="str">
        <x:v>1 CATALOGO FABRICACION 2026B.pdf</x:v>
      </x:c>
      <x:c r="D124" s="21" t="n">
        <x:v>45</x:v>
      </x:c>
      <x:c r="E124" s="17" t="str">
        <x:v>idelika:fabricacion:sin-sku:c890bbdda73b0d68e229</x:v>
      </x:c>
      <x:c r="F124" s="17"/>
      <x:c r="G124" s="22" t="str">
        <x:v>por_verificar</x:v>
      </x:c>
      <x:c r="H124" s="17" t="str">
        <x:v>Mayan banco y silla</x:v>
      </x:c>
      <x:c r="I124" s="17"/>
      <x:c r="J124" s="17" t="str">
        <x:v>silla</x:v>
      </x:c>
      <x:c r="K124" s="17" t="str">
        <x:v>Acero y cuerda</x:v>
      </x:c>
      <x:c r="L124" s="17"/>
      <x:c r="M124" s="17" t="str">
        <x:v>Acero y cuerda</x:v>
      </x:c>
      <x:c r="N124" s="22" t="str">
        <x:v>pieza</x:v>
      </x:c>
      <x:c r="O124" s="23" t="n">
        <x:v>1499</x:v>
      </x:c>
      <x:c r="P124" s="23" t="n">
        <x:v>1799</x:v>
      </x:c>
      <x:c r="Q124" s="17" t="str">
        <x:v>$1,799 – $1,499 silla</x:v>
      </x:c>
      <x:c r="R124" s="22" t="str">
        <x:v>confirmado</x:v>
      </x:c>
      <x:c r="S124" s="22" t="str">
        <x:v>Sí</x:v>
      </x:c>
      <x:c r="T124" s="24"/>
      <x:c r="U124" s="17" t="str">
        <x:v>https://graph.microsoft.com/v1.0/me/drive/items/01DHXXN7YJMCJUVPBWNJEJPJIH7B4OTAUR#page=45</x:v>
      </x:c>
      <x:c r="V124" s="17" t="str">
        <x:v>https://graph.microsoft.com/v1.0/me/drive/items/01DHXXN7YJMCJUVPBWNJEJPJIH7B4OTAUR</x:v>
      </x:c>
      <x:c r="W124" s="17" t="str">
        <x:v>c890bbdda73b0d68e2299e8177d6ad2002c0ce72d02b5aa30b4ca0eeb1f0b59c</x:v>
      </x:c>
      <x:c r="X124" s="17" t="str">
        <x:v>SKU no publicado; se conserva una identidad técnica estable.</x:v>
      </x:c>
    </x:row>
    <x:row r="125" ht="34" customHeight="1">
      <x:c r="A125" s="17" t="str">
        <x:v>IDÉLIKA</x:v>
      </x:c>
      <x:c r="B125" s="17" t="str">
        <x:v>Fabricacion</x:v>
      </x:c>
      <x:c r="C125" s="17" t="str">
        <x:v>1 CATALOGO FABRICACION 2026B.pdf</x:v>
      </x:c>
      <x:c r="D125" s="21" t="n">
        <x:v>45</x:v>
      </x:c>
      <x:c r="E125" s="17" t="str">
        <x:v>idelika:fabricacion:sin-sku:fb28b288dc700983875f</x:v>
      </x:c>
      <x:c r="F125" s="17"/>
      <x:c r="G125" s="22" t="str">
        <x:v>por_verificar</x:v>
      </x:c>
      <x:c r="H125" s="17" t="str">
        <x:v>Caleta silla (pedido mínimo 20 pzs.)</x:v>
      </x:c>
      <x:c r="I125" s="17"/>
      <x:c r="J125" s="17"/>
      <x:c r="K125" s="17" t="str">
        <x:v>Acero galvanizado con pvc</x:v>
      </x:c>
      <x:c r="L125" s="17" t="str">
        <x:v>Fabricación 45*55*80</x:v>
      </x:c>
      <x:c r="M125" s="17" t="str">
        <x:v>Acero galvanizado con pvc</x:v>
      </x:c>
      <x:c r="N125" s="22" t="str">
        <x:v>pieza</x:v>
      </x:c>
      <x:c r="O125" s="23" t="n">
        <x:v>1999</x:v>
      </x:c>
      <x:c r="P125" s="23" t="n">
        <x:v>2399</x:v>
      </x:c>
      <x:c r="Q125" s="17" t="str">
        <x:v>$2,399 - $1,999</x:v>
      </x:c>
      <x:c r="R125" s="22" t="str">
        <x:v>confirmado</x:v>
      </x:c>
      <x:c r="S125" s="22" t="str">
        <x:v>Sí</x:v>
      </x:c>
      <x:c r="T125" s="24"/>
      <x:c r="U125" s="17" t="str">
        <x:v>https://graph.microsoft.com/v1.0/me/drive/items/01DHXXN7YJMCJUVPBWNJEJPJIH7B4OTAUR#page=45</x:v>
      </x:c>
      <x:c r="V125" s="17" t="str">
        <x:v>https://graph.microsoft.com/v1.0/me/drive/items/01DHXXN7YJMCJUVPBWNJEJPJIH7B4OTAUR</x:v>
      </x:c>
      <x:c r="W125" s="17" t="str">
        <x:v>fb28b288dc700983875f85a9643ccce7f86adf36f8852c646f0c5f0b00c6e5c5</x:v>
      </x:c>
      <x:c r="X125" s="17" t="str">
        <x:v>SKU no publicado; se conserva una identidad técnica estable.</x:v>
      </x:c>
    </x:row>
    <x:row r="126" ht="34" customHeight="1">
      <x:c r="A126" s="17" t="str">
        <x:v>IDÉLIKA</x:v>
      </x:c>
      <x:c r="B126" s="17" t="str">
        <x:v>Fabricacion</x:v>
      </x:c>
      <x:c r="C126" s="17" t="str">
        <x:v>1 CATALOGO FABRICACION 2026B.pdf</x:v>
      </x:c>
      <x:c r="D126" s="21" t="n">
        <x:v>46</x:v>
      </x:c>
      <x:c r="E126" s="17" t="str">
        <x:v>idelika:fabricacion:sin-sku:fcd8f8edf459d6794c59</x:v>
      </x:c>
      <x:c r="F126" s="17"/>
      <x:c r="G126" s="22" t="str">
        <x:v>por_verificar</x:v>
      </x:c>
      <x:c r="H126" s="17" t="str">
        <x:v>Zihuatanejo silla</x:v>
      </x:c>
      <x:c r="I126" s="17" t="str">
        <x:v>Xpu-ha</x:v>
      </x:c>
      <x:c r="J126" s="17" t="str">
        <x:v>exterior techado</x:v>
      </x:c>
      <x:c r="K126" s="17" t="str">
        <x:v>Acero con pintura electroestática cuerda de multifilamento</x:v>
      </x:c>
      <x:c r="L126" s="17" t="str">
        <x:v>Fabricación 46*66*81</x:v>
      </x:c>
      <x:c r="M126" s="17" t="str">
        <x:v>Acero con pintura electroestática cuerda de multifilamento</x:v>
      </x:c>
      <x:c r="N126" s="22" t="str">
        <x:v>pieza</x:v>
      </x:c>
      <x:c r="O126" s="23" t="n">
        <x:v>4699</x:v>
      </x:c>
      <x:c r="P126" s="23" t="n">
        <x:v>4999</x:v>
      </x:c>
      <x:c r="Q126" s="17" t="str">
        <x:v>$4,999 – $4,699 exterior techado</x:v>
      </x:c>
      <x:c r="R126" s="22" t="str">
        <x:v>confirmado</x:v>
      </x:c>
      <x:c r="S126" s="22" t="str">
        <x:v>Sí</x:v>
      </x:c>
      <x:c r="T126" s="24"/>
      <x:c r="U126" s="17" t="str">
        <x:v>https://graph.microsoft.com/v1.0/me/drive/items/01DHXXN7YJMCJUVPBWNJEJPJIH7B4OTAUR#page=46</x:v>
      </x:c>
      <x:c r="V126" s="17" t="str">
        <x:v>https://graph.microsoft.com/v1.0/me/drive/items/01DHXXN7YJMCJUVPBWNJEJPJIH7B4OTAUR</x:v>
      </x:c>
      <x:c r="W126" s="17" t="str">
        <x:v>fcd8f8edf459d6794c5940e6906c2784a08341ab95ada8cb4ae726ad86909307</x:v>
      </x:c>
      <x:c r="X126" s="17" t="str">
        <x:v>SKU no publicado; se conserva una identidad técnica estable.</x:v>
      </x:c>
    </x:row>
    <x:row r="127" ht="34" customHeight="1">
      <x:c r="A127" s="17" t="str">
        <x:v>IDÉLIKA</x:v>
      </x:c>
      <x:c r="B127" s="17" t="str">
        <x:v>Fabricacion</x:v>
      </x:c>
      <x:c r="C127" s="17" t="str">
        <x:v>1 CATALOGO FABRICACION 2026B.pdf</x:v>
      </x:c>
      <x:c r="D127" s="21" t="n">
        <x:v>46</x:v>
      </x:c>
      <x:c r="E127" s="17" t="str">
        <x:v>idelika:fabricacion:sin-sku:aafd4f6edc2f5245dc11</x:v>
      </x:c>
      <x:c r="F127" s="17"/>
      <x:c r="G127" s="22" t="str">
        <x:v>por_verificar</x:v>
      </x:c>
      <x:c r="H127" s="17" t="str">
        <x:v>Mixtlán silla</x:v>
      </x:c>
      <x:c r="I127" s="17" t="str">
        <x:v>Xpu-ha</x:v>
      </x:c>
      <x:c r="J127" s="17" t="str">
        <x:v>exterior techado</x:v>
      </x:c>
      <x:c r="K127" s="17" t="str">
        <x:v>Acero con pintura electroestática cuerda de multifilamento</x:v>
      </x:c>
      <x:c r="L127" s="17" t="str">
        <x:v>Fabricación 46*66*81</x:v>
      </x:c>
      <x:c r="M127" s="17" t="str">
        <x:v>Acero con pintura electroestática cuerda de multifilamento</x:v>
      </x:c>
      <x:c r="N127" s="22" t="str">
        <x:v>pieza</x:v>
      </x:c>
      <x:c r="O127" s="23" t="n">
        <x:v>2999</x:v>
      </x:c>
      <x:c r="P127" s="23" t="n">
        <x:v>3399</x:v>
      </x:c>
      <x:c r="Q127" s="17" t="str">
        <x:v>$3,399 – $2,999 exterior techado</x:v>
      </x:c>
      <x:c r="R127" s="22" t="str">
        <x:v>confirmado</x:v>
      </x:c>
      <x:c r="S127" s="22" t="str">
        <x:v>Sí</x:v>
      </x:c>
      <x:c r="T127" s="24"/>
      <x:c r="U127" s="17" t="str">
        <x:v>https://graph.microsoft.com/v1.0/me/drive/items/01DHXXN7YJMCJUVPBWNJEJPJIH7B4OTAUR#page=46</x:v>
      </x:c>
      <x:c r="V127" s="17" t="str">
        <x:v>https://graph.microsoft.com/v1.0/me/drive/items/01DHXXN7YJMCJUVPBWNJEJPJIH7B4OTAUR</x:v>
      </x:c>
      <x:c r="W127" s="17" t="str">
        <x:v>aafd4f6edc2f5245dc11b95d22c17fd57431ea2916ffbb86e7a9d6fddcd877cb</x:v>
      </x:c>
      <x:c r="X127" s="17" t="str">
        <x:v>SKU no publicado; se conserva una identidad técnica estable.</x:v>
      </x:c>
    </x:row>
    <x:row r="128" ht="34" customHeight="1">
      <x:c r="A128" s="17" t="str">
        <x:v>IDÉLIKA</x:v>
      </x:c>
      <x:c r="B128" s="17" t="str">
        <x:v>Fabricacion</x:v>
      </x:c>
      <x:c r="C128" s="17" t="str">
        <x:v>1 CATALOGO FABRICACION 2026B.pdf</x:v>
      </x:c>
      <x:c r="D128" s="21" t="n">
        <x:v>46</x:v>
      </x:c>
      <x:c r="E128" s="17" t="str">
        <x:v>idelika:fabricacion:sin-sku:83190f0cc6cba232d187</x:v>
      </x:c>
      <x:c r="F128" s="17"/>
      <x:c r="G128" s="22" t="str">
        <x:v>por_verificar</x:v>
      </x:c>
      <x:c r="H128" s="17" t="str">
        <x:v>Chapala silla</x:v>
      </x:c>
      <x:c r="I128" s="17" t="str">
        <x:v>Xpu-ha</x:v>
      </x:c>
      <x:c r="J128" s="17" t="str">
        <x:v>exterior techado</x:v>
      </x:c>
      <x:c r="K128" s="17" t="str">
        <x:v>Acero con pintura electroestática cuerda de multifilamento y tela</x:v>
      </x:c>
      <x:c r="L128" s="17" t="str">
        <x:v>Fabricación 54*53*83 alto</x:v>
      </x:c>
      <x:c r="M128" s="17" t="str">
        <x:v>Acero con pintura electroestática cuerda de multifilamento y tela</x:v>
      </x:c>
      <x:c r="N128" s="22" t="str">
        <x:v>pieza</x:v>
      </x:c>
      <x:c r="O128" s="23" t="n">
        <x:v>2999</x:v>
      </x:c>
      <x:c r="P128" s="23" t="n">
        <x:v>3490</x:v>
      </x:c>
      <x:c r="Q128" s="17" t="str">
        <x:v>$3,490 – $2,999 exterior techado</x:v>
      </x:c>
      <x:c r="R128" s="22" t="str">
        <x:v>confirmado</x:v>
      </x:c>
      <x:c r="S128" s="22" t="str">
        <x:v>Sí</x:v>
      </x:c>
      <x:c r="T128" s="24"/>
      <x:c r="U128" s="17" t="str">
        <x:v>https://graph.microsoft.com/v1.0/me/drive/items/01DHXXN7YJMCJUVPBWNJEJPJIH7B4OTAUR#page=46</x:v>
      </x:c>
      <x:c r="V128" s="17" t="str">
        <x:v>https://graph.microsoft.com/v1.0/me/drive/items/01DHXXN7YJMCJUVPBWNJEJPJIH7B4OTAUR</x:v>
      </x:c>
      <x:c r="W128" s="17" t="str">
        <x:v>83190f0cc6cba232d187932636c6346f6e40836b9b378bba9374e52c183e405d</x:v>
      </x:c>
      <x:c r="X128" s="17" t="str">
        <x:v>SKU no publicado; se conserva una identidad técnica estable.</x:v>
      </x:c>
    </x:row>
    <x:row r="129" ht="34" customHeight="1">
      <x:c r="A129" s="17" t="str">
        <x:v>IDÉLIKA</x:v>
      </x:c>
      <x:c r="B129" s="17" t="str">
        <x:v>Fabricacion</x:v>
      </x:c>
      <x:c r="C129" s="17" t="str">
        <x:v>1 CATALOGO FABRICACION 2026B.pdf</x:v>
      </x:c>
      <x:c r="D129" s="21" t="n">
        <x:v>46</x:v>
      </x:c>
      <x:c r="E129" s="17" t="str">
        <x:v>idelika:fabricacion:sin-sku:c5b75f955d72bfc3212b</x:v>
      </x:c>
      <x:c r="F129" s="17"/>
      <x:c r="G129" s="22" t="str">
        <x:v>por_verificar</x:v>
      </x:c>
      <x:c r="H129" s="17" t="str">
        <x:v>Mérida silla</x:v>
      </x:c>
      <x:c r="I129" s="17" t="str">
        <x:v>Xpu-ha</x:v>
      </x:c>
      <x:c r="J129" s="17" t="str">
        <x:v>exterior techado</x:v>
      </x:c>
      <x:c r="K129" s="17" t="str">
        <x:v>Acero con pintura electroestática cuerda de multifilamento y tela Majahuitas silla acero Acero con pintura electroestática</x:v>
      </x:c>
      <x:c r="L129" s="17" t="str">
        <x:v>Fabricación 55*62*80 alto</x:v>
      </x:c>
      <x:c r="M129" s="17" t="str">
        <x:v>Acero con pintura electroestática cuerda de multifilamento y tela Majahuitas silla acero Acero con pintura electroestática cuerda de multifilamento y tela Xalapa silla acero Acero con pintura electroestática cuerda de multifilamento y tela</x:v>
      </x:c>
      <x:c r="N129" s="22" t="str">
        <x:v>pieza</x:v>
      </x:c>
      <x:c r="O129" s="23" t="n">
        <x:v>3299</x:v>
      </x:c>
      <x:c r="P129" s="23" t="n">
        <x:v>3999</x:v>
      </x:c>
      <x:c r="Q129" s="17" t="str">
        <x:v>$3,999 – $3,299 exterior techado</x:v>
      </x:c>
      <x:c r="R129" s="22" t="str">
        <x:v>confirmado</x:v>
      </x:c>
      <x:c r="S129" s="22" t="str">
        <x:v>Sí</x:v>
      </x:c>
      <x:c r="T129" s="24"/>
      <x:c r="U129" s="17" t="str">
        <x:v>https://graph.microsoft.com/v1.0/me/drive/items/01DHXXN7YJMCJUVPBWNJEJPJIH7B4OTAUR#page=46</x:v>
      </x:c>
      <x:c r="V129" s="17" t="str">
        <x:v>https://graph.microsoft.com/v1.0/me/drive/items/01DHXXN7YJMCJUVPBWNJEJPJIH7B4OTAUR</x:v>
      </x:c>
      <x:c r="W129" s="17" t="str">
        <x:v>c5b75f955d72bfc3212bd258256c367dc8db51e26b3729be1a3b037ce6bd5746</x:v>
      </x:c>
      <x:c r="X129" s="17" t="str">
        <x:v>SKU no publicado; se conserva una identidad técnica estable.</x:v>
      </x:c>
    </x:row>
    <x:row r="130" ht="34" customHeight="1">
      <x:c r="A130" s="17" t="str">
        <x:v>IDÉLIKA</x:v>
      </x:c>
      <x:c r="B130" s="17" t="str">
        <x:v>Fabricacion</x:v>
      </x:c>
      <x:c r="C130" s="17" t="str">
        <x:v>1 CATALOGO FABRICACION 2026B.pdf</x:v>
      </x:c>
      <x:c r="D130" s="21" t="n">
        <x:v>46</x:v>
      </x:c>
      <x:c r="E130" s="17" t="str">
        <x:v>idelika:fabricacion:sin-sku:f2ac0f86084980c0433b</x:v>
      </x:c>
      <x:c r="F130" s="17"/>
      <x:c r="G130" s="22" t="str">
        <x:v>por_verificar</x:v>
      </x:c>
      <x:c r="H130" s="17" t="str">
        <x:v>Mérida silla</x:v>
      </x:c>
      <x:c r="I130" s="17" t="str">
        <x:v>Xpu-ha</x:v>
      </x:c>
      <x:c r="J130" s="17" t="str">
        <x:v>exterior techado</x:v>
      </x:c>
      <x:c r="K130" s="17" t="str">
        <x:v>Acero con pintura electroestática cuerda de multifilamento y tela Majahuitas silla acero Acero con pintura electroestática</x:v>
      </x:c>
      <x:c r="L130" s="17" t="str">
        <x:v>Fabricación 48*60*83 alto</x:v>
      </x:c>
      <x:c r="M130" s="17" t="str">
        <x:v>Acero con pintura electroestática cuerda de multifilamento y tela Majahuitas silla acero Acero con pintura electroestática cuerda de multifilamento y tela Xalapa silla acero Acero con pintura electroestática cuerda de multifilamento y tela</x:v>
      </x:c>
      <x:c r="N130" s="22" t="str">
        <x:v>pieza</x:v>
      </x:c>
      <x:c r="O130" s="23" t="n">
        <x:v>3999</x:v>
      </x:c>
      <x:c r="P130" s="23" t="n">
        <x:v>4499</x:v>
      </x:c>
      <x:c r="Q130" s="17" t="str">
        <x:v>$4,499 – $3,999 exterior techado</x:v>
      </x:c>
      <x:c r="R130" s="22" t="str">
        <x:v>confirmado</x:v>
      </x:c>
      <x:c r="S130" s="22" t="str">
        <x:v>Sí</x:v>
      </x:c>
      <x:c r="T130" s="24"/>
      <x:c r="U130" s="17" t="str">
        <x:v>https://graph.microsoft.com/v1.0/me/drive/items/01DHXXN7YJMCJUVPBWNJEJPJIH7B4OTAUR#page=46</x:v>
      </x:c>
      <x:c r="V130" s="17" t="str">
        <x:v>https://graph.microsoft.com/v1.0/me/drive/items/01DHXXN7YJMCJUVPBWNJEJPJIH7B4OTAUR</x:v>
      </x:c>
      <x:c r="W130" s="17" t="str">
        <x:v>f2ac0f86084980c0433b8805e78db78f04e37f37f2a7a262f1769172fa12476e</x:v>
      </x:c>
      <x:c r="X130" s="17" t="str">
        <x:v>SKU no publicado; se conserva una identidad técnica estable.</x:v>
      </x:c>
    </x:row>
    <x:row r="131" ht="34" customHeight="1">
      <x:c r="A131" s="17" t="str">
        <x:v>IDÉLIKA</x:v>
      </x:c>
      <x:c r="B131" s="17" t="str">
        <x:v>Fabricacion</x:v>
      </x:c>
      <x:c r="C131" s="17" t="str">
        <x:v>1 CATALOGO FABRICACION 2026B.pdf</x:v>
      </x:c>
      <x:c r="D131" s="21" t="n">
        <x:v>46</x:v>
      </x:c>
      <x:c r="E131" s="17" t="str">
        <x:v>idelika:fabricacion:sin-sku:7fb100f4380ce7220d63</x:v>
      </x:c>
      <x:c r="F131" s="17"/>
      <x:c r="G131" s="22" t="str">
        <x:v>por_verificar</x:v>
      </x:c>
      <x:c r="H131" s="17" t="str">
        <x:v>Mérida silla</x:v>
      </x:c>
      <x:c r="I131" s="17" t="str">
        <x:v>Xpu-ha</x:v>
      </x:c>
      <x:c r="J131" s="17" t="str">
        <x:v>exterior techado</x:v>
      </x:c>
      <x:c r="K131" s="17" t="str">
        <x:v>Acero con pintura electroestática cuerda de multifilamento y tela Majahuitas silla acero Acero con pintura electroestática</x:v>
      </x:c>
      <x:c r="L131" s="17" t="str">
        <x:v>Fabricación 58*45*85 alto</x:v>
      </x:c>
      <x:c r="M131" s="17" t="str">
        <x:v>Acero con pintura electroestática cuerda de multifilamento y tela Majahuitas silla acero Acero con pintura electroestática cuerda de multifilamento y tela Xalapa silla acero Acero con pintura electroestática cuerda de multifilamento y tela</x:v>
      </x:c>
      <x:c r="N131" s="22" t="str">
        <x:v>pieza</x:v>
      </x:c>
      <x:c r="O131" s="23" t="n">
        <x:v>2999</x:v>
      </x:c>
      <x:c r="P131" s="23" t="n">
        <x:v>3499</x:v>
      </x:c>
      <x:c r="Q131" s="17" t="str">
        <x:v>$3,499 – $2,999 exterior techado</x:v>
      </x:c>
      <x:c r="R131" s="22" t="str">
        <x:v>confirmado</x:v>
      </x:c>
      <x:c r="S131" s="22" t="str">
        <x:v>Sí</x:v>
      </x:c>
      <x:c r="T131" s="24"/>
      <x:c r="U131" s="17" t="str">
        <x:v>https://graph.microsoft.com/v1.0/me/drive/items/01DHXXN7YJMCJUVPBWNJEJPJIH7B4OTAUR#page=46</x:v>
      </x:c>
      <x:c r="V131" s="17" t="str">
        <x:v>https://graph.microsoft.com/v1.0/me/drive/items/01DHXXN7YJMCJUVPBWNJEJPJIH7B4OTAUR</x:v>
      </x:c>
      <x:c r="W131" s="17" t="str">
        <x:v>7fb100f4380ce7220d630ab4504e555607ef56344c242124556c3ca1f48e157c</x:v>
      </x:c>
      <x:c r="X131" s="17" t="str">
        <x:v>SKU no publicado; se conserva una identidad técnica estable.</x:v>
      </x:c>
    </x:row>
    <x:row r="132" ht="34" customHeight="1">
      <x:c r="A132" s="17" t="str">
        <x:v>IDÉLIKA</x:v>
      </x:c>
      <x:c r="B132" s="17" t="str">
        <x:v>Fabricacion</x:v>
      </x:c>
      <x:c r="C132" s="17" t="str">
        <x:v>1 CATALOGO FABRICACION 2026B.pdf</x:v>
      </x:c>
      <x:c r="D132" s="21" t="n">
        <x:v>47</x:v>
      </x:c>
      <x:c r="E132" s="17" t="str">
        <x:v>idelika:fabricacion:sin-sku:0df43a7c0290d66e70ce</x:v>
      </x:c>
      <x:c r="F132" s="17"/>
      <x:c r="G132" s="22" t="str">
        <x:v>por_verificar</x:v>
      </x:c>
      <x:c r="H132" s="17" t="str">
        <x:v>Tuxcueca banco</x:v>
      </x:c>
      <x:c r="I132" s="17"/>
      <x:c r="J132" s="17" t="str">
        <x:v>exterior techado</x:v>
      </x:c>
      <x:c r="K132" s="17" t="str">
        <x:v>Acero con pintura electroestática cuerda de multifilamento y tela Acero galvanizado cuerda textilene y loneta de exterior</x:v>
      </x:c>
      <x:c r="L132" s="17" t="str">
        <x:v>42*58*101 alto</x:v>
      </x:c>
      <x:c r="M132" s="17" t="str">
        <x:v>42*58*101 alto Acero con pintura electroestática cuerda de multifilamento y tela Acero galvanizado con pintura electroestática cuerda textilene y loneta de exterior</x:v>
      </x:c>
      <x:c r="N132" s="22" t="str">
        <x:v>pieza</x:v>
      </x:c>
      <x:c r="O132" s="23" t="n">
        <x:v>3299</x:v>
      </x:c>
      <x:c r="P132" s="23" t="n">
        <x:v>3599</x:v>
      </x:c>
      <x:c r="Q132" s="17" t="str">
        <x:v>$3,599 – $3,299 exterior techado</x:v>
      </x:c>
      <x:c r="R132" s="22" t="str">
        <x:v>confirmado</x:v>
      </x:c>
      <x:c r="S132" s="22" t="str">
        <x:v>Sí</x:v>
      </x:c>
      <x:c r="T132" s="24"/>
      <x:c r="U132" s="17" t="str">
        <x:v>https://graph.microsoft.com/v1.0/me/drive/items/01DHXXN7YJMCJUVPBWNJEJPJIH7B4OTAUR#page=47</x:v>
      </x:c>
      <x:c r="V132" s="17" t="str">
        <x:v>https://graph.microsoft.com/v1.0/me/drive/items/01DHXXN7YJMCJUVPBWNJEJPJIH7B4OTAUR</x:v>
      </x:c>
      <x:c r="W132" s="17" t="str">
        <x:v>0df43a7c0290d66e70cefef6ccf544bd59881c3268f47c02db546d59ddbed20c</x:v>
      </x:c>
      <x:c r="X132" s="17" t="str">
        <x:v>SKU no publicado; se conserva una identidad técnica estable.</x:v>
      </x:c>
    </x:row>
    <x:row r="133" ht="34" customHeight="1">
      <x:c r="A133" s="17" t="str">
        <x:v>IDÉLIKA</x:v>
      </x:c>
      <x:c r="B133" s="17" t="str">
        <x:v>Fabricacion</x:v>
      </x:c>
      <x:c r="C133" s="17" t="str">
        <x:v>1 CATALOGO FABRICACION 2026B.pdf</x:v>
      </x:c>
      <x:c r="D133" s="21" t="n">
        <x:v>47</x:v>
      </x:c>
      <x:c r="E133" s="17" t="str">
        <x:v>idelika:fabricacion:sin-sku:86fa3b9a0fe06fb4d155</x:v>
      </x:c>
      <x:c r="F133" s="17"/>
      <x:c r="G133" s="22" t="str">
        <x:v>por_verificar</x:v>
      </x:c>
      <x:c r="H133" s="17" t="str">
        <x:v>Tuxcueca banco</x:v>
      </x:c>
      <x:c r="I133" s="17"/>
      <x:c r="J133" s="17" t="str">
        <x:v>exterior 100%</x:v>
      </x:c>
      <x:c r="K133" s="17" t="str">
        <x:v>Acero con pintura electroestática cuerda de multifilamento y tela Acero galvanizado cuerda textilene y loneta de exterior</x:v>
      </x:c>
      <x:c r="L133" s="17"/>
      <x:c r="M133" s="17" t="str">
        <x:v>42*58*101 alto Acero con pintura electroestática cuerda de multifilamento y tela Acero galvanizado con pintura electroestática cuerda textilene y loneta de exterior</x:v>
      </x:c>
      <x:c r="N133" s="22" t="str">
        <x:v>pieza</x:v>
      </x:c>
      <x:c r="O133" s="23" t="n">
        <x:v>3999</x:v>
      </x:c>
      <x:c r="P133" s="23" t="n">
        <x:v>4299</x:v>
      </x:c>
      <x:c r="Q133" s="17" t="str">
        <x:v>$4,299 – $3,999 exterior 100%</x:v>
      </x:c>
      <x:c r="R133" s="22" t="str">
        <x:v>confirmado</x:v>
      </x:c>
      <x:c r="S133" s="22" t="str">
        <x:v>Sí</x:v>
      </x:c>
      <x:c r="T133" s="24"/>
      <x:c r="U133" s="17" t="str">
        <x:v>https://graph.microsoft.com/v1.0/me/drive/items/01DHXXN7YJMCJUVPBWNJEJPJIH7B4OTAUR#page=47</x:v>
      </x:c>
      <x:c r="V133" s="17" t="str">
        <x:v>https://graph.microsoft.com/v1.0/me/drive/items/01DHXXN7YJMCJUVPBWNJEJPJIH7B4OTAUR</x:v>
      </x:c>
      <x:c r="W133" s="17" t="str">
        <x:v>86fa3b9a0fe06fb4d1559148a6b437dac3060457b587ef6e772acc75d9ce24ca</x:v>
      </x:c>
      <x:c r="X133" s="17" t="str">
        <x:v>SKU no publicado; se conserva una identidad técnica estable.</x:v>
      </x:c>
    </x:row>
    <x:row r="134" ht="34" customHeight="1">
      <x:c r="A134" s="17" t="str">
        <x:v>IDÉLIKA</x:v>
      </x:c>
      <x:c r="B134" s="17" t="str">
        <x:v>Fabricacion</x:v>
      </x:c>
      <x:c r="C134" s="17" t="str">
        <x:v>1 CATALOGO FABRICACION 2026B.pdf</x:v>
      </x:c>
      <x:c r="D134" s="21" t="n">
        <x:v>47</x:v>
      </x:c>
      <x:c r="E134" s="17" t="str">
        <x:v>idelika:fabricacion:sin-sku:9dcd63c095a8d199761c</x:v>
      </x:c>
      <x:c r="F134" s="17"/>
      <x:c r="G134" s="22" t="str">
        <x:v>por_verificar</x:v>
      </x:c>
      <x:c r="H134" s="17" t="str">
        <x:v>San Juan silla</x:v>
      </x:c>
      <x:c r="I134" s="17"/>
      <x:c r="J134" s="17" t="str">
        <x:v>exterior techado</x:v>
      </x:c>
      <x:c r="K134" s="17" t="str">
        <x:v>Acero con pintura electroestática cuerda de multifilamento y tela Acero galvanizado cuerda textilene y loneta de exterior</x:v>
      </x:c>
      <x:c r="L134" s="17" t="str">
        <x:v>46*66*81 alto</x:v>
      </x:c>
      <x:c r="M134" s="17" t="str">
        <x:v>46*66*81 alto Acero con pintura electroestática cuerda de multifilamento y tela Acero galvanizado cuerda textilene y loneta de exterior</x:v>
      </x:c>
      <x:c r="N134" s="22" t="str">
        <x:v>pieza</x:v>
      </x:c>
      <x:c r="O134" s="23" t="n">
        <x:v>2999</x:v>
      </x:c>
      <x:c r="P134" s="23" t="n">
        <x:v>3499</x:v>
      </x:c>
      <x:c r="Q134" s="17" t="str">
        <x:v>$3,499 – $2,999 exterior techado</x:v>
      </x:c>
      <x:c r="R134" s="22" t="str">
        <x:v>confirmado</x:v>
      </x:c>
      <x:c r="S134" s="22" t="str">
        <x:v>Sí</x:v>
      </x:c>
      <x:c r="T134" s="24"/>
      <x:c r="U134" s="17" t="str">
        <x:v>https://graph.microsoft.com/v1.0/me/drive/items/01DHXXN7YJMCJUVPBWNJEJPJIH7B4OTAUR#page=47</x:v>
      </x:c>
      <x:c r="V134" s="17" t="str">
        <x:v>https://graph.microsoft.com/v1.0/me/drive/items/01DHXXN7YJMCJUVPBWNJEJPJIH7B4OTAUR</x:v>
      </x:c>
      <x:c r="W134" s="17" t="str">
        <x:v>9dcd63c095a8d199761cdcb1e62386e6bfb05ee4645e952185799a0fb5fcc613</x:v>
      </x:c>
      <x:c r="X134" s="17" t="str">
        <x:v>SKU no publicado; se conserva una identidad técnica estable.</x:v>
      </x:c>
    </x:row>
    <x:row r="135" ht="34" customHeight="1">
      <x:c r="A135" s="17" t="str">
        <x:v>IDÉLIKA</x:v>
      </x:c>
      <x:c r="B135" s="17" t="str">
        <x:v>Fabricacion</x:v>
      </x:c>
      <x:c r="C135" s="17" t="str">
        <x:v>1 CATALOGO FABRICACION 2026B.pdf</x:v>
      </x:c>
      <x:c r="D135" s="21" t="n">
        <x:v>47</x:v>
      </x:c>
      <x:c r="E135" s="17" t="str">
        <x:v>idelika:fabricacion:sin-sku:4ba77b55a0f345a157b1</x:v>
      </x:c>
      <x:c r="F135" s="17"/>
      <x:c r="G135" s="22" t="str">
        <x:v>por_verificar</x:v>
      </x:c>
      <x:c r="H135" s="17" t="str">
        <x:v>San Juan silla</x:v>
      </x:c>
      <x:c r="I135" s="17"/>
      <x:c r="J135" s="17" t="str">
        <x:v>exterior 100%</x:v>
      </x:c>
      <x:c r="K135" s="17" t="str">
        <x:v>Acero con pintura electroestática cuerda de multifilamento y tela Acero galvanizado cuerda textilene y loneta de exterior</x:v>
      </x:c>
      <x:c r="L135" s="17"/>
      <x:c r="M135" s="17" t="str">
        <x:v>46*66*81 alto Acero con pintura electroestática cuerda de multifilamento y tela Acero galvanizado cuerda textilene y loneta de exterior</x:v>
      </x:c>
      <x:c r="N135" s="22" t="str">
        <x:v>pieza</x:v>
      </x:c>
      <x:c r="O135" s="23" t="n">
        <x:v>3599</x:v>
      </x:c>
      <x:c r="P135" s="23" t="n">
        <x:v>4199</x:v>
      </x:c>
      <x:c r="Q135" s="17" t="str">
        <x:v>$4,199 – $3,599 exterior 100%</x:v>
      </x:c>
      <x:c r="R135" s="22" t="str">
        <x:v>confirmado</x:v>
      </x:c>
      <x:c r="S135" s="22" t="str">
        <x:v>Sí</x:v>
      </x:c>
      <x:c r="T135" s="24"/>
      <x:c r="U135" s="17" t="str">
        <x:v>https://graph.microsoft.com/v1.0/me/drive/items/01DHXXN7YJMCJUVPBWNJEJPJIH7B4OTAUR#page=47</x:v>
      </x:c>
      <x:c r="V135" s="17" t="str">
        <x:v>https://graph.microsoft.com/v1.0/me/drive/items/01DHXXN7YJMCJUVPBWNJEJPJIH7B4OTAUR</x:v>
      </x:c>
      <x:c r="W135" s="17" t="str">
        <x:v>4ba77b55a0f345a157b1e4c6f5de8a10be9c4bceac644418b91b60ba34d2daad</x:v>
      </x:c>
      <x:c r="X135" s="17" t="str">
        <x:v>SKU no publicado; se conserva una identidad técnica estable.</x:v>
      </x:c>
    </x:row>
    <x:row r="136" ht="34" customHeight="1">
      <x:c r="A136" s="17" t="str">
        <x:v>IDÉLIKA</x:v>
      </x:c>
      <x:c r="B136" s="17" t="str">
        <x:v>Fabricacion</x:v>
      </x:c>
      <x:c r="C136" s="17" t="str">
        <x:v>1 CATALOGO FABRICACION 2026B.pdf</x:v>
      </x:c>
      <x:c r="D136" s="21" t="n">
        <x:v>47</x:v>
      </x:c>
      <x:c r="E136" s="17" t="str">
        <x:v>idelika:fabricacion:sin-sku:23fa1bf014acc28456f2</x:v>
      </x:c>
      <x:c r="F136" s="17"/>
      <x:c r="G136" s="22" t="str">
        <x:v>por_verificar</x:v>
      </x:c>
      <x:c r="H136" s="17" t="str">
        <x:v>Ajijic Silla</x:v>
      </x:c>
      <x:c r="I136" s="17"/>
      <x:c r="J136" s="17"/>
      <x:c r="K136" s="17" t="str">
        <x:v>Acero con pintura Y ratán sintético</x:v>
      </x:c>
      <x:c r="L136" s="17" t="str">
        <x:v>44*45*84</x:v>
      </x:c>
      <x:c r="M136" s="17" t="str">
        <x:v>Acero con pintura electroestática Y ratán sintético 44*45*84</x:v>
      </x:c>
      <x:c r="N136" s="22" t="str">
        <x:v>pieza</x:v>
      </x:c>
      <x:c r="O136" s="23" t="n">
        <x:v>3999</x:v>
      </x:c>
      <x:c r="P136" s="23" t="n">
        <x:v>4499</x:v>
      </x:c>
      <x:c r="Q136" s="17" t="str">
        <x:v>$4,499 – $3,999</x:v>
      </x:c>
      <x:c r="R136" s="22" t="str">
        <x:v>confirmado</x:v>
      </x:c>
      <x:c r="S136" s="22" t="str">
        <x:v>Sí</x:v>
      </x:c>
      <x:c r="T136" s="24"/>
      <x:c r="U136" s="17" t="str">
        <x:v>https://graph.microsoft.com/v1.0/me/drive/items/01DHXXN7YJMCJUVPBWNJEJPJIH7B4OTAUR#page=47</x:v>
      </x:c>
      <x:c r="V136" s="17" t="str">
        <x:v>https://graph.microsoft.com/v1.0/me/drive/items/01DHXXN7YJMCJUVPBWNJEJPJIH7B4OTAUR</x:v>
      </x:c>
      <x:c r="W136" s="17" t="str">
        <x:v>23fa1bf014acc28456f22813d2cb81ec329b78919b82770fa06215ba1f98ee95</x:v>
      </x:c>
      <x:c r="X136" s="17" t="str">
        <x:v>SKU no publicado; se conserva una identidad técnica estable.</x:v>
      </x:c>
    </x:row>
    <x:row r="137" ht="34" customHeight="1">
      <x:c r="A137" s="17" t="str">
        <x:v>IDÉLIKA</x:v>
      </x:c>
      <x:c r="B137" s="17" t="str">
        <x:v>Fabricacion</x:v>
      </x:c>
      <x:c r="C137" s="17" t="str">
        <x:v>1 CATALOGO FABRICACION 2026B.pdf</x:v>
      </x:c>
      <x:c r="D137" s="21" t="n">
        <x:v>48</x:v>
      </x:c>
      <x:c r="E137" s="17" t="str">
        <x:v>idelika:fabricacion:sin-sku:7c1b0b39a7036a248032</x:v>
      </x:c>
      <x:c r="F137" s="17"/>
      <x:c r="G137" s="22" t="str">
        <x:v>por_verificar</x:v>
      </x:c>
      <x:c r="H137" s="17" t="str">
        <x:v>Colección Tula</x:v>
      </x:c>
      <x:c r="I137" s="17" t="str">
        <x:v>Tula</x:v>
      </x:c>
      <x:c r="J137" s="17"/>
      <x:c r="K137" s="17"/>
      <x:c r="L137" s="17"/>
      <x:c r="M137" s="17" t="str">
        <x:v>Colección Tula</x:v>
      </x:c>
      <x:c r="N137" s="22" t="str">
        <x:v>pieza</x:v>
      </x:c>
      <x:c r="O137" s="23"/>
      <x:c r="P137" s="23"/>
      <x:c r="Q137" s="17"/>
      <x:c r="R137" s="22" t="str">
        <x:v>por_confirmar</x:v>
      </x:c>
      <x:c r="S137" s="22" t="str">
        <x:v>Sí</x:v>
      </x:c>
      <x:c r="T137" s="24"/>
      <x:c r="U137" s="17" t="str">
        <x:v>https://graph.microsoft.com/v1.0/me/drive/items/01DHXXN7YJMCJUVPBWNJEJPJIH7B4OTAUR#page=48</x:v>
      </x:c>
      <x:c r="V137" s="17" t="str">
        <x:v>https://graph.microsoft.com/v1.0/me/drive/items/01DHXXN7YJMCJUVPBWNJEJPJIH7B4OTAUR</x:v>
      </x:c>
      <x:c r="W137" s="17" t="str">
        <x:v>7c1b0b39a7036a248032c38b44566e040e349a9264dcc28e8275e309fdf68ae7</x:v>
      </x:c>
      <x:c r="X137" s="17" t="str">
        <x:v>SKU no publicado; se conserva una identidad técnica estable. Precio por confirmar.</x:v>
      </x:c>
    </x:row>
    <x:row r="138" ht="34" customHeight="1">
      <x:c r="A138" s="17" t="str">
        <x:v>IDÉLIKA</x:v>
      </x:c>
      <x:c r="B138" s="17" t="str">
        <x:v>Fabricacion</x:v>
      </x:c>
      <x:c r="C138" s="17" t="str">
        <x:v>1 CATALOGO FABRICACION 2026B.pdf</x:v>
      </x:c>
      <x:c r="D138" s="21" t="n">
        <x:v>49</x:v>
      </x:c>
      <x:c r="E138" s="17" t="str">
        <x:v>idelika:fabricacion:sin-sku:60dc8a002fb82ed1ee45</x:v>
      </x:c>
      <x:c r="F138" s="17"/>
      <x:c r="G138" s="22" t="str">
        <x:v>por_verificar</x:v>
      </x:c>
      <x:c r="H138" s="17" t="str">
        <x:v>Silla Bistro</x:v>
      </x:c>
      <x:c r="I138" s="17"/>
      <x:c r="J138" s="17"/>
      <x:c r="K138" s="17"/>
      <x:c r="L138" s="17"/>
      <x:c r="M138" s="17" t="str">
        <x:v>precio por proyecto</x:v>
      </x:c>
      <x:c r="N138" s="22" t="str">
        <x:v>pieza</x:v>
      </x:c>
      <x:c r="O138" s="23"/>
      <x:c r="P138" s="23"/>
      <x:c r="Q138" s="17" t="str">
        <x:v>precio por proyecto</x:v>
      </x:c>
      <x:c r="R138" s="22" t="str">
        <x:v>por_confirmar</x:v>
      </x:c>
      <x:c r="S138" s="22" t="str">
        <x:v>Sí</x:v>
      </x:c>
      <x:c r="T138" s="24"/>
      <x:c r="U138" s="17" t="str">
        <x:v>https://graph.microsoft.com/v1.0/me/drive/items/01DHXXN7YJMCJUVPBWNJEJPJIH7B4OTAUR#page=49</x:v>
      </x:c>
      <x:c r="V138" s="17" t="str">
        <x:v>https://graph.microsoft.com/v1.0/me/drive/items/01DHXXN7YJMCJUVPBWNJEJPJIH7B4OTAUR</x:v>
      </x:c>
      <x:c r="W138" s="17" t="str">
        <x:v>60dc8a002fb82ed1ee4548267f55b2d9d9b38a39f3a5824653d2aebeed471b5d</x:v>
      </x:c>
      <x:c r="X138" s="17" t="str">
        <x:v>SKU no publicado; se conserva una identidad técnica estable. Precio por confirmar.</x:v>
      </x:c>
    </x:row>
    <x:row r="139" ht="34" customHeight="1">
      <x:c r="A139" s="17" t="str">
        <x:v>IDÉLIKA</x:v>
      </x:c>
      <x:c r="B139" s="17" t="str">
        <x:v>Fabricacion</x:v>
      </x:c>
      <x:c r="C139" s="17" t="str">
        <x:v>1 CATALOGO FABRICACION 2026B.pdf</x:v>
      </x:c>
      <x:c r="D139" s="21" t="n">
        <x:v>51</x:v>
      </x:c>
      <x:c r="E139" s="17" t="str">
        <x:v>idelika:fabricacion:sin-sku:2cc10bffbaa7c2ff5a61</x:v>
      </x:c>
      <x:c r="F139" s="17"/>
      <x:c r="G139" s="22" t="str">
        <x:v>por_verificar</x:v>
      </x:c>
      <x:c r="H139" s="17" t="str">
        <x:v>Colchón memory foam</x:v>
      </x:c>
      <x:c r="I139" s="17"/>
      <x:c r="J139" s="17"/>
      <x:c r="K139" s="17"/>
      <x:c r="L139" s="17"/>
      <x:c r="M139" s="17" t="str">
        <x:v>Precios disponibles en</x:v>
      </x:c>
      <x:c r="N139" s="22" t="str">
        <x:v>pieza</x:v>
      </x:c>
      <x:c r="O139" s="23"/>
      <x:c r="P139" s="23"/>
      <x:c r="Q139" s="17" t="str">
        <x:v>Precios disponibles en www.idelika.com</x:v>
      </x:c>
      <x:c r="R139" s="22" t="str">
        <x:v>por_confirmar</x:v>
      </x:c>
      <x:c r="S139" s="22" t="str">
        <x:v>Sí</x:v>
      </x:c>
      <x:c r="T139" s="24"/>
      <x:c r="U139" s="17" t="str">
        <x:v>https://graph.microsoft.com/v1.0/me/drive/items/01DHXXN7YJMCJUVPBWNJEJPJIH7B4OTAUR#page=51</x:v>
      </x:c>
      <x:c r="V139" s="17" t="str">
        <x:v>https://graph.microsoft.com/v1.0/me/drive/items/01DHXXN7YJMCJUVPBWNJEJPJIH7B4OTAUR</x:v>
      </x:c>
      <x:c r="W139" s="17" t="str">
        <x:v>2cc10bffbaa7c2ff5a61fd0062743676c3bd03dadaafd8d09a9d3efa7df85993</x:v>
      </x:c>
      <x:c r="X139" s="17" t="str">
        <x:v>SKU no publicado; se conserva una identidad técnica estable. Precio por confirmar.</x:v>
      </x:c>
    </x:row>
  </x:sheetData>
  <x:pageMargins left="0.7" right="0.7" top="0.75" bottom="0.75" header="0.3" footer="0.3"/>
  <x:tableParts count="1">
    <x:tablePart xmlns:r="http://schemas.openxmlformats.org/officeDocument/2006/relationships" r:id="R400f493d634341ff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7" hidden="0" customWidth="1"/>
    <x:col min="3" max="3" width="36" hidden="0" customWidth="1"/>
    <x:col min="4" max="4" width="12" hidden="0" customWidth="1"/>
    <x:col min="5" max="5" width="35" hidden="0" customWidth="1"/>
    <x:col min="6" max="6" width="15" hidden="0" customWidth="1"/>
    <x:col min="7" max="7" width="15" hidden="0" customWidth="1"/>
    <x:col min="8" max="8" width="28" hidden="0" customWidth="1"/>
    <x:col min="9" max="9" width="22" hidden="0" customWidth="1"/>
    <x:col min="10" max="10" width="24" hidden="0" customWidth="1"/>
    <x:col min="11" max="11" width="30" hidden="0" customWidth="1"/>
    <x:col min="12" max="12" width="25" hidden="0" customWidth="1"/>
    <x:col min="13" max="13" width="52" hidden="0" customWidth="1"/>
    <x:col min="14" max="14" width="11" hidden="0" customWidth="1"/>
    <x:col min="15" max="15" width="18" hidden="0" customWidth="1"/>
    <x:col min="16" max="16" width="23" hidden="0" customWidth="1"/>
    <x:col min="17" max="17" width="28" hidden="0" customWidth="1"/>
    <x:col min="18" max="18" width="17" hidden="0" customWidth="1"/>
    <x:col min="19" max="19" width="12" hidden="0" customWidth="1"/>
    <x:col min="20" max="20" width="15" hidden="0" customWidth="1"/>
    <x:col min="21" max="21" width="45" hidden="0" customWidth="1"/>
    <x:col min="22" max="22" width="47" hidden="0" customWidth="1"/>
    <x:col min="23" max="23" width="67" hidden="0" customWidth="1"/>
    <x:col min="24" max="24" width="48" hidden="0" customWidth="1"/>
  </x:cols>
  <x:sheetData>
    <x:row r="1" ht="36" customHeight="1">
      <x:c r="A1" s="12" t="str">
        <x:v>Proveedor</x:v>
      </x:c>
      <x:c r="B1" s="13" t="str">
        <x:v>Subcatalogo</x:v>
      </x:c>
      <x:c r="C1" s="13" t="str">
        <x:v>Archivo_origen</x:v>
      </x:c>
      <x:c r="D1" s="13" t="str">
        <x:v>Pagina_origen</x:v>
      </x:c>
      <x:c r="E1" s="13" t="str">
        <x:v>Clave_estable</x:v>
      </x:c>
      <x:c r="F1" s="13" t="str">
        <x:v>SKU</x:v>
      </x:c>
      <x:c r="G1" s="13" t="str">
        <x:v>Estado_codigo</x:v>
      </x:c>
      <x:c r="H1" s="13" t="str">
        <x:v>Producto</x:v>
      </x:c>
      <x:c r="I1" s="13" t="str">
        <x:v>Familia</x:v>
      </x:c>
      <x:c r="J1" s="13" t="str">
        <x:v>Variante</x:v>
      </x:c>
      <x:c r="K1" s="13" t="str">
        <x:v>Material</x:v>
      </x:c>
      <x:c r="L1" s="13" t="str">
        <x:v>Medidas</x:v>
      </x:c>
      <x:c r="M1" s="13" t="str">
        <x:v>Descripcion</x:v>
      </x:c>
      <x:c r="N1" s="13" t="str">
        <x:v>Unidad</x:v>
      </x:c>
      <x:c r="O1" s="13" t="str">
        <x:v>Costo_MXN</x:v>
      </x:c>
      <x:c r="P1" s="13" t="str">
        <x:v>Precio_referencia_MXN</x:v>
      </x:c>
      <x:c r="Q1" s="13" t="str">
        <x:v>Precio_original</x:v>
      </x:c>
      <x:c r="R1" s="13" t="str">
        <x:v>Estado_precio</x:v>
      </x:c>
      <x:c r="S1" s="13" t="str">
        <x:v>Cotizable</x:v>
      </x:c>
      <x:c r="T1" s="13" t="str">
        <x:v>Minimo_compra</x:v>
      </x:c>
      <x:c r="U1" s="13" t="str">
        <x:v>Imagen_referencia</x:v>
      </x:c>
      <x:c r="V1" s="13" t="str">
        <x:v>URL_fuente</x:v>
      </x:c>
      <x:c r="W1" s="13" t="str">
        <x:v>Identidad_hash</x:v>
      </x:c>
      <x:c r="X1" s="14" t="str">
        <x:v>Notas</x:v>
      </x:c>
    </x:row>
    <x:row r="2" ht="34" customHeight="1">
      <x:c r="A2" s="17" t="str">
        <x:v>IDÉLIKA</x:v>
      </x:c>
      <x:c r="B2" s="17" t="str">
        <x:v>Stock</x:v>
      </x:c>
      <x:c r="C2" s="17" t="str">
        <x:v>2 CATALOGO STOCK 2026.pdf</x:v>
      </x:c>
      <x:c r="D2" s="21" t="n">
        <x:v>2</x:v>
      </x:c>
      <x:c r="E2" s="17" t="str">
        <x:v>idelika:stock:sin-sku:04dda56435b4cdbefc70</x:v>
      </x:c>
      <x:c r="F2" s="17"/>
      <x:c r="G2" s="22" t="str">
        <x:v>por_verificar</x:v>
      </x:c>
      <x:c r="H2" s="17" t="str">
        <x:v>Marau silla</x:v>
      </x:c>
      <x:c r="I2" s="17" t="str">
        <x:v>Nogal</x:v>
      </x:c>
      <x:c r="J2" s="17"/>
      <x:c r="K2" s="17" t="str">
        <x:v>Madera y vinipiel</x:v>
      </x:c>
      <x:c r="L2" s="17" t="str">
        <x:v>48*50*77</x:v>
      </x:c>
      <x:c r="M2" s="17" t="str">
        <x:v>Madera y vinipiel 48*50*77</x:v>
      </x:c>
      <x:c r="N2" s="22" t="str">
        <x:v>pieza</x:v>
      </x:c>
      <x:c r="O2" s="23" t="n">
        <x:v>2999</x:v>
      </x:c>
      <x:c r="P2" s="23" t="n">
        <x:v>3599</x:v>
      </x:c>
      <x:c r="Q2" s="17" t="str">
        <x:v>$3,599 - $2,999</x:v>
      </x:c>
      <x:c r="R2" s="22" t="str">
        <x:v>confirmado</x:v>
      </x:c>
      <x:c r="S2" s="22" t="str">
        <x:v>Sí</x:v>
      </x:c>
      <x:c r="T2" s="24"/>
      <x:c r="U2" s="17" t="str">
        <x:v>https://graph.microsoft.com/v1.0/me/drive/items/01DHXXN7YASXKBZPOLSBHIX2N2T3PB4G2R#page=2</x:v>
      </x:c>
      <x:c r="V2" s="17" t="str">
        <x:v>https://graph.microsoft.com/v1.0/me/drive/items/01DHXXN7YASXKBZPOLSBHIX2N2T3PB4G2R</x:v>
      </x:c>
      <x:c r="W2" s="17" t="str">
        <x:v>04dda56435b4cdbefc707505bceecce4c0f892b9eb4b36dc71c94dc6f36963e5</x:v>
      </x:c>
      <x:c r="X2" s="17" t="str">
        <x:v>SKU no publicado; se conserva una identidad técnica estable.</x:v>
      </x:c>
    </x:row>
    <x:row r="3" ht="34" customHeight="1">
      <x:c r="A3" s="17" t="str">
        <x:v>IDÉLIKA</x:v>
      </x:c>
      <x:c r="B3" s="17" t="str">
        <x:v>Stock</x:v>
      </x:c>
      <x:c r="C3" s="17" t="str">
        <x:v>2 CATALOGO STOCK 2026.pdf</x:v>
      </x:c>
      <x:c r="D3" s="21" t="n">
        <x:v>2</x:v>
      </x:c>
      <x:c r="E3" s="17" t="str">
        <x:v>idelika:stock:sin-sku:5b9ce1c1351ab6acda0a</x:v>
      </x:c>
      <x:c r="F3" s="17"/>
      <x:c r="G3" s="22" t="str">
        <x:v>por_verificar</x:v>
      </x:c>
      <x:c r="H3" s="17" t="str">
        <x:v>Ebony banco</x:v>
      </x:c>
      <x:c r="I3" s="17" t="str">
        <x:v>Nogal</x:v>
      </x:c>
      <x:c r="J3" s="17"/>
      <x:c r="K3" s="17" t="str">
        <x:v>Madera y vinipiel</x:v>
      </x:c>
      <x:c r="L3" s="17" t="str">
        <x:v>52*50*100/122</x:v>
      </x:c>
      <x:c r="M3" s="17" t="str">
        <x:v>Madera y vinipiel 52*50*100/122</x:v>
      </x:c>
      <x:c r="N3" s="22" t="str">
        <x:v>pieza</x:v>
      </x:c>
      <x:c r="O3" s="23" t="n">
        <x:v>3999</x:v>
      </x:c>
      <x:c r="P3" s="23" t="n">
        <x:v>4999</x:v>
      </x:c>
      <x:c r="Q3" s="17" t="str">
        <x:v>$4,999 - $3,999</x:v>
      </x:c>
      <x:c r="R3" s="22" t="str">
        <x:v>confirmado</x:v>
      </x:c>
      <x:c r="S3" s="22" t="str">
        <x:v>Sí</x:v>
      </x:c>
      <x:c r="T3" s="24"/>
      <x:c r="U3" s="17" t="str">
        <x:v>https://graph.microsoft.com/v1.0/me/drive/items/01DHXXN7YASXKBZPOLSBHIX2N2T3PB4G2R#page=2</x:v>
      </x:c>
      <x:c r="V3" s="17" t="str">
        <x:v>https://graph.microsoft.com/v1.0/me/drive/items/01DHXXN7YASXKBZPOLSBHIX2N2T3PB4G2R</x:v>
      </x:c>
      <x:c r="W3" s="17" t="str">
        <x:v>5b9ce1c1351ab6acda0ab5281c0e7820a927f14f86ea89c2135a5b5c9e9c793e</x:v>
      </x:c>
      <x:c r="X3" s="17" t="str">
        <x:v>SKU no publicado; se conserva una identidad técnica estable.</x:v>
      </x:c>
    </x:row>
    <x:row r="4" ht="34" customHeight="1">
      <x:c r="A4" s="17" t="str">
        <x:v>IDÉLIKA</x:v>
      </x:c>
      <x:c r="B4" s="17" t="str">
        <x:v>Stock</x:v>
      </x:c>
      <x:c r="C4" s="17" t="str">
        <x:v>2 CATALOGO STOCK 2026.pdf</x:v>
      </x:c>
      <x:c r="D4" s="21" t="n">
        <x:v>3</x:v>
      </x:c>
      <x:c r="E4" s="17" t="str">
        <x:v>idelika:stock:sin-sku:d2cddce75c1e8f63d84b</x:v>
      </x:c>
      <x:c r="F4" s="17"/>
      <x:c r="G4" s="22" t="str">
        <x:v>por_verificar</x:v>
      </x:c>
      <x:c r="H4" s="17" t="str">
        <x:v>Slovequia banco</x:v>
      </x:c>
      <x:c r="I4" s="17"/>
      <x:c r="J4" s="17"/>
      <x:c r="K4" s="17" t="str">
        <x:v>Acero y polipropileno</x:v>
      </x:c>
      <x:c r="L4" s="17" t="str">
        <x:v>43*45*75</x:v>
      </x:c>
      <x:c r="M4" s="17" t="str">
        <x:v>Acero y polipropileno 43*45*75</x:v>
      </x:c>
      <x:c r="N4" s="22" t="str">
        <x:v>pieza</x:v>
      </x:c>
      <x:c r="O4" s="23" t="n">
        <x:v>1999</x:v>
      </x:c>
      <x:c r="P4" s="23" t="n">
        <x:v>2499</x:v>
      </x:c>
      <x:c r="Q4" s="17" t="str">
        <x:v>$2,499 - $1,999</x:v>
      </x:c>
      <x:c r="R4" s="22" t="str">
        <x:v>confirmado</x:v>
      </x:c>
      <x:c r="S4" s="22" t="str">
        <x:v>Sí</x:v>
      </x:c>
      <x:c r="T4" s="24"/>
      <x:c r="U4" s="17" t="str">
        <x:v>https://graph.microsoft.com/v1.0/me/drive/items/01DHXXN7YASXKBZPOLSBHIX2N2T3PB4G2R#page=3</x:v>
      </x:c>
      <x:c r="V4" s="17" t="str">
        <x:v>https://graph.microsoft.com/v1.0/me/drive/items/01DHXXN7YASXKBZPOLSBHIX2N2T3PB4G2R</x:v>
      </x:c>
      <x:c r="W4" s="17" t="str">
        <x:v>d2cddce75c1e8f63d84b994e600986efa308cbc5b4c592681a0fb85c8237e2b0</x:v>
      </x:c>
      <x:c r="X4" s="17" t="str">
        <x:v>SKU no publicado; se conserva una identidad técnica estable.</x:v>
      </x:c>
    </x:row>
    <x:row r="5" ht="34" customHeight="1">
      <x:c r="A5" s="17" t="str">
        <x:v>IDÉLIKA</x:v>
      </x:c>
      <x:c r="B5" s="17" t="str">
        <x:v>Stock</x:v>
      </x:c>
      <x:c r="C5" s="17" t="str">
        <x:v>2 CATALOGO STOCK 2026.pdf</x:v>
      </x:c>
      <x:c r="D5" s="21" t="n">
        <x:v>4</x:v>
      </x:c>
      <x:c r="E5" s="17" t="str">
        <x:v>idelika:stock:sin-sku:0416c892ad4041ca7a04</x:v>
      </x:c>
      <x:c r="F5" s="17"/>
      <x:c r="G5" s="22" t="str">
        <x:v>por_verificar</x:v>
      </x:c>
      <x:c r="H5" s="17" t="str">
        <x:v>Aminy Banco</x:v>
      </x:c>
      <x:c r="I5" s="17"/>
      <x:c r="J5" s="17"/>
      <x:c r="K5" s="17" t="str">
        <x:v>Vinipiel y acero</x:v>
      </x:c>
      <x:c r="L5" s="17" t="str">
        <x:v>53*50*95</x:v>
      </x:c>
      <x:c r="M5" s="17" t="str">
        <x:v>Vinipiel y acero 53*50*95</x:v>
      </x:c>
      <x:c r="N5" s="22" t="str">
        <x:v>pieza</x:v>
      </x:c>
      <x:c r="O5" s="23" t="n">
        <x:v>3999</x:v>
      </x:c>
      <x:c r="P5" s="23" t="n">
        <x:v>4499</x:v>
      </x:c>
      <x:c r="Q5" s="17" t="str">
        <x:v>$4,499 - $3,999</x:v>
      </x:c>
      <x:c r="R5" s="22" t="str">
        <x:v>confirmado</x:v>
      </x:c>
      <x:c r="S5" s="22" t="str">
        <x:v>Sí</x:v>
      </x:c>
      <x:c r="T5" s="24"/>
      <x:c r="U5" s="17" t="str">
        <x:v>https://graph.microsoft.com/v1.0/me/drive/items/01DHXXN7YASXKBZPOLSBHIX2N2T3PB4G2R#page=4</x:v>
      </x:c>
      <x:c r="V5" s="17" t="str">
        <x:v>https://graph.microsoft.com/v1.0/me/drive/items/01DHXXN7YASXKBZPOLSBHIX2N2T3PB4G2R</x:v>
      </x:c>
      <x:c r="W5" s="17" t="str">
        <x:v>0416c892ad4041ca7a048af23e3ddacf4575a5969732713259db9d9cf1758933</x:v>
      </x:c>
      <x:c r="X5" s="17" t="str">
        <x:v>SKU no publicado; se conserva una identidad técnica estable.</x:v>
      </x:c>
    </x:row>
    <x:row r="6" ht="34" customHeight="1">
      <x:c r="A6" s="17" t="str">
        <x:v>IDÉLIKA</x:v>
      </x:c>
      <x:c r="B6" s="17" t="str">
        <x:v>Stock</x:v>
      </x:c>
      <x:c r="C6" s="17" t="str">
        <x:v>2 CATALOGO STOCK 2026.pdf</x:v>
      </x:c>
      <x:c r="D6" s="21" t="n">
        <x:v>4</x:v>
      </x:c>
      <x:c r="E6" s="17" t="str">
        <x:v>idelika:stock:sin-sku:1eee3f4c75b684e69a41</x:v>
      </x:c>
      <x:c r="F6" s="17"/>
      <x:c r="G6" s="22" t="str">
        <x:v>por_verificar</x:v>
      </x:c>
      <x:c r="H6" s="17" t="str">
        <x:v>Aminy silla</x:v>
      </x:c>
      <x:c r="I6" s="17"/>
      <x:c r="J6" s="17"/>
      <x:c r="K6" s="17"/>
      <x:c r="L6" s="17" t="str">
        <x:v>60*60*87</x:v>
      </x:c>
      <x:c r="M6" s="17" t="str">
        <x:v>*la silla premiada como La más cómoda del mundo 60*60*87</x:v>
      </x:c>
      <x:c r="N6" s="22" t="str">
        <x:v>pieza</x:v>
      </x:c>
      <x:c r="O6" s="23" t="n">
        <x:v>3999</x:v>
      </x:c>
      <x:c r="P6" s="23" t="n">
        <x:v>4999</x:v>
      </x:c>
      <x:c r="Q6" s="17" t="str">
        <x:v>$4,999 - $3,999</x:v>
      </x:c>
      <x:c r="R6" s="22" t="str">
        <x:v>confirmado</x:v>
      </x:c>
      <x:c r="S6" s="22" t="str">
        <x:v>Sí</x:v>
      </x:c>
      <x:c r="T6" s="24"/>
      <x:c r="U6" s="17" t="str">
        <x:v>https://graph.microsoft.com/v1.0/me/drive/items/01DHXXN7YASXKBZPOLSBHIX2N2T3PB4G2R#page=4</x:v>
      </x:c>
      <x:c r="V6" s="17" t="str">
        <x:v>https://graph.microsoft.com/v1.0/me/drive/items/01DHXXN7YASXKBZPOLSBHIX2N2T3PB4G2R</x:v>
      </x:c>
      <x:c r="W6" s="17" t="str">
        <x:v>1eee3f4c75b684e69a41d1711e9065653f893af6128228e52006d67aef28c9f8</x:v>
      </x:c>
      <x:c r="X6" s="17" t="str">
        <x:v>SKU no publicado; se conserva una identidad técnica estable.</x:v>
      </x:c>
    </x:row>
    <x:row r="7" ht="34" customHeight="1">
      <x:c r="A7" s="17" t="str">
        <x:v>IDÉLIKA</x:v>
      </x:c>
      <x:c r="B7" s="17" t="str">
        <x:v>Stock</x:v>
      </x:c>
      <x:c r="C7" s="17" t="str">
        <x:v>2 CATALOGO STOCK 2026.pdf</x:v>
      </x:c>
      <x:c r="D7" s="21" t="n">
        <x:v>5</x:v>
      </x:c>
      <x:c r="E7" s="17" t="str">
        <x:v>idelika:stock:sin-sku:d39010a24c73a7777b31</x:v>
      </x:c>
      <x:c r="F7" s="17"/>
      <x:c r="G7" s="22" t="str">
        <x:v>por_verificar</x:v>
      </x:c>
      <x:c r="H7" s="17" t="str">
        <x:v>Tequila base baja</x:v>
      </x:c>
      <x:c r="I7" s="17"/>
      <x:c r="J7" s="17"/>
      <x:c r="K7" s="17" t="str">
        <x:v>Acero con pintura</x:v>
      </x:c>
      <x:c r="L7" s="17" t="str">
        <x:v>Fabricación 69*69*70</x:v>
      </x:c>
      <x:c r="M7" s="17" t="str">
        <x:v>Acero con pintura electroestática Uso exterior techado</x:v>
      </x:c>
      <x:c r="N7" s="22" t="str">
        <x:v>pieza</x:v>
      </x:c>
      <x:c r="O7" s="23" t="n">
        <x:v>1299</x:v>
      </x:c>
      <x:c r="P7" s="23" t="n">
        <x:v>1990</x:v>
      </x:c>
      <x:c r="Q7" s="17" t="str">
        <x:v>$1,990 – $1,299</x:v>
      </x:c>
      <x:c r="R7" s="22" t="str">
        <x:v>confirmado</x:v>
      </x:c>
      <x:c r="S7" s="22" t="str">
        <x:v>Sí</x:v>
      </x:c>
      <x:c r="T7" s="24"/>
      <x:c r="U7" s="17" t="str">
        <x:v>https://graph.microsoft.com/v1.0/me/drive/items/01DHXXN7YASXKBZPOLSBHIX2N2T3PB4G2R#page=5</x:v>
      </x:c>
      <x:c r="V7" s="17" t="str">
        <x:v>https://graph.microsoft.com/v1.0/me/drive/items/01DHXXN7YASXKBZPOLSBHIX2N2T3PB4G2R</x:v>
      </x:c>
      <x:c r="W7" s="17" t="str">
        <x:v>d39010a24c73a7777b31c0d2be3fa714024eae55cc3312d66d8da43a9ab70ddf</x:v>
      </x:c>
      <x:c r="X7" s="17" t="str">
        <x:v>SKU no publicado; se conserva una identidad técnica estable.</x:v>
      </x:c>
    </x:row>
    <x:row r="8" ht="34" customHeight="1">
      <x:c r="A8" s="17" t="str">
        <x:v>IDÉLIKA</x:v>
      </x:c>
      <x:c r="B8" s="17" t="str">
        <x:v>Stock</x:v>
      </x:c>
      <x:c r="C8" s="17" t="str">
        <x:v>2 CATALOGO STOCK 2026.pdf</x:v>
      </x:c>
      <x:c r="D8" s="21" t="n">
        <x:v>5</x:v>
      </x:c>
      <x:c r="E8" s="17" t="str">
        <x:v>idelika:stock:sin-sku:c2058e1c81fe1ab83e5e</x:v>
      </x:c>
      <x:c r="F8" s="17"/>
      <x:c r="G8" s="22" t="str">
        <x:v>por_verificar</x:v>
      </x:c>
      <x:c r="H8" s="17" t="str">
        <x:v>Tequila base alta</x:v>
      </x:c>
      <x:c r="I8" s="17"/>
      <x:c r="J8" s="17"/>
      <x:c r="K8" s="17" t="str">
        <x:v>Acero con pintura Cubiertas melamina e) Concrete f) Mármol carrara</x:v>
      </x:c>
      <x:c r="L8" s="17" t="str">
        <x:v>Fabricación 50*50*110</x:v>
      </x:c>
      <x:c r="M8" s="17" t="str">
        <x:v>Acero con pintura electroestática Uso exterior techado Cubiertas melamina encapsulada para exteriores Resistente rayaduras, protección rayos UV, nulo mantenimiento, resistente a objetos calientes, quemaduras de cigarro. Uso rudo interior y exterior. a) Epoxy b) Indian rosewood c) Black d) Wengué e) Concrete f) Mármol carrara</x:v>
      </x:c>
      <x:c r="N8" s="22" t="str">
        <x:v>pieza</x:v>
      </x:c>
      <x:c r="O8" s="23" t="n">
        <x:v>1599</x:v>
      </x:c>
      <x:c r="P8" s="23" t="n">
        <x:v>2190</x:v>
      </x:c>
      <x:c r="Q8" s="17" t="str">
        <x:v>$2,190 – $1,599</x:v>
      </x:c>
      <x:c r="R8" s="22" t="str">
        <x:v>confirmado</x:v>
      </x:c>
      <x:c r="S8" s="22" t="str">
        <x:v>Sí</x:v>
      </x:c>
      <x:c r="T8" s="24"/>
      <x:c r="U8" s="17" t="str">
        <x:v>https://graph.microsoft.com/v1.0/me/drive/items/01DHXXN7YASXKBZPOLSBHIX2N2T3PB4G2R#page=5</x:v>
      </x:c>
      <x:c r="V8" s="17" t="str">
        <x:v>https://graph.microsoft.com/v1.0/me/drive/items/01DHXXN7YASXKBZPOLSBHIX2N2T3PB4G2R</x:v>
      </x:c>
      <x:c r="W8" s="17" t="str">
        <x:v>c2058e1c81fe1ab83e5ebb8cbacff1fe460f8e63e9a7fcec9c10d800ec232070</x:v>
      </x:c>
      <x:c r="X8" s="17" t="str">
        <x:v>SKU no publicado; se conserva una identidad técnica estable.</x:v>
      </x:c>
    </x:row>
    <x:row r="9" ht="34" customHeight="1">
      <x:c r="A9" s="17" t="str">
        <x:v>IDÉLIKA</x:v>
      </x:c>
      <x:c r="B9" s="17" t="str">
        <x:v>Stock</x:v>
      </x:c>
      <x:c r="C9" s="17" t="str">
        <x:v>2 CATALOGO STOCK 2026.pdf</x:v>
      </x:c>
      <x:c r="D9" s="21" t="n">
        <x:v>5</x:v>
      </x:c>
      <x:c r="E9" s="17" t="str">
        <x:v>idelika:stock:sin-sku:9ca5d2a45a059a12a1b3</x:v>
      </x:c>
      <x:c r="F9" s="17"/>
      <x:c r="G9" s="22" t="str">
        <x:v>por_verificar</x:v>
      </x:c>
      <x:c r="H9" s="17" t="str">
        <x:v>Tequila base alta</x:v>
      </x:c>
      <x:c r="I9" s="17"/>
      <x:c r="J9" s="17"/>
      <x:c r="K9" s="17" t="str">
        <x:v>Acero con pintura Cubiertas melamina e) Concrete f) Mármol carrara</x:v>
      </x:c>
      <x:c r="L9" s="17" t="str">
        <x:v>60 diámetro</x:v>
      </x:c>
      <x:c r="M9" s="17" t="str">
        <x:v>Acero con pintura electroestática Uso exterior techado Cubiertas melamina encapsulada para exteriores Resistente rayaduras, protección rayos UV, nulo mantenimiento, resistente a objetos calientes, quemaduras de cigarro. Uso rudo interior y exterior. a) Epoxy b) Indian rosewood c) Black d) Wengué e) Concrete f) Mármol carrara</x:v>
      </x:c>
      <x:c r="N9" s="22" t="str">
        <x:v>pieza</x:v>
      </x:c>
      <x:c r="O9" s="23" t="n">
        <x:v>2390</x:v>
      </x:c>
      <x:c r="P9" s="23" t="n">
        <x:v>3290</x:v>
      </x:c>
      <x:c r="Q9" s="17" t="str">
        <x:v>60 diámetro $3,290 – $2,390</x:v>
      </x:c>
      <x:c r="R9" s="22" t="str">
        <x:v>confirmado</x:v>
      </x:c>
      <x:c r="S9" s="22" t="str">
        <x:v>Sí</x:v>
      </x:c>
      <x:c r="T9" s="24"/>
      <x:c r="U9" s="17" t="str">
        <x:v>https://graph.microsoft.com/v1.0/me/drive/items/01DHXXN7YASXKBZPOLSBHIX2N2T3PB4G2R#page=5</x:v>
      </x:c>
      <x:c r="V9" s="17" t="str">
        <x:v>https://graph.microsoft.com/v1.0/me/drive/items/01DHXXN7YASXKBZPOLSBHIX2N2T3PB4G2R</x:v>
      </x:c>
      <x:c r="W9" s="17" t="str">
        <x:v>9ca5d2a45a059a12a1b3cd20b0d3d50b4f7364a765c79ee4646c8d148503ec8a</x:v>
      </x:c>
      <x:c r="X9" s="17" t="str">
        <x:v>SKU no publicado; se conserva una identidad técnica estable.</x:v>
      </x:c>
    </x:row>
    <x:row r="10" ht="34" customHeight="1">
      <x:c r="A10" s="17" t="str">
        <x:v>IDÉLIKA</x:v>
      </x:c>
      <x:c r="B10" s="17" t="str">
        <x:v>Stock</x:v>
      </x:c>
      <x:c r="C10" s="17" t="str">
        <x:v>2 CATALOGO STOCK 2026.pdf</x:v>
      </x:c>
      <x:c r="D10" s="21" t="n">
        <x:v>5</x:v>
      </x:c>
      <x:c r="E10" s="17" t="str">
        <x:v>idelika:stock:sin-sku:0ce293c0959e10068dbe</x:v>
      </x:c>
      <x:c r="F10" s="17"/>
      <x:c r="G10" s="22" t="str">
        <x:v>por_verificar</x:v>
      </x:c>
      <x:c r="H10" s="17" t="str">
        <x:v>Tequila base alta</x:v>
      </x:c>
      <x:c r="I10" s="17"/>
      <x:c r="J10" s="17"/>
      <x:c r="K10" s="17" t="str">
        <x:v>Acero con pintura Cubiertas melamina e) Concrete f) Mármol carrara</x:v>
      </x:c>
      <x:c r="L10" s="17" t="str">
        <x:v>90 diámetro</x:v>
      </x:c>
      <x:c r="M10" s="17" t="str">
        <x:v>Acero con pintura electroestática Uso exterior techado Cubiertas melamina encapsulada para exteriores Resistente rayaduras, protección rayos UV, nulo mantenimiento, resistente a objetos calientes, quemaduras de cigarro. Uso rudo interior y exterior. a) Epoxy b) Indian rosewood c) Black d) Wengué e) Concrete f) Mármol carrara</x:v>
      </x:c>
      <x:c r="N10" s="22" t="str">
        <x:v>pieza</x:v>
      </x:c>
      <x:c r="O10" s="23" t="n">
        <x:v>2990</x:v>
      </x:c>
      <x:c r="P10" s="23" t="n">
        <x:v>3990</x:v>
      </x:c>
      <x:c r="Q10" s="17" t="str">
        <x:v>90 diámetro $3,990 – $2,990</x:v>
      </x:c>
      <x:c r="R10" s="22" t="str">
        <x:v>confirmado</x:v>
      </x:c>
      <x:c r="S10" s="22" t="str">
        <x:v>Sí</x:v>
      </x:c>
      <x:c r="T10" s="24"/>
      <x:c r="U10" s="17" t="str">
        <x:v>https://graph.microsoft.com/v1.0/me/drive/items/01DHXXN7YASXKBZPOLSBHIX2N2T3PB4G2R#page=5</x:v>
      </x:c>
      <x:c r="V10" s="17" t="str">
        <x:v>https://graph.microsoft.com/v1.0/me/drive/items/01DHXXN7YASXKBZPOLSBHIX2N2T3PB4G2R</x:v>
      </x:c>
      <x:c r="W10" s="17" t="str">
        <x:v>0ce293c0959e10068dbeb7393e060866e09e8c9f18d6a10d7fca2b47e2586563</x:v>
      </x:c>
      <x:c r="X10" s="17" t="str">
        <x:v>SKU no publicado; se conserva una identidad técnica estable.</x:v>
      </x:c>
    </x:row>
    <x:row r="11" ht="34" customHeight="1">
      <x:c r="A11" s="17" t="str">
        <x:v>IDÉLIKA</x:v>
      </x:c>
      <x:c r="B11" s="17" t="str">
        <x:v>Stock</x:v>
      </x:c>
      <x:c r="C11" s="17" t="str">
        <x:v>2 CATALOGO STOCK 2026.pdf</x:v>
      </x:c>
      <x:c r="D11" s="21" t="n">
        <x:v>5</x:v>
      </x:c>
      <x:c r="E11" s="17" t="str">
        <x:v>idelika:stock:sin-sku:2cd7d2e302622adbd834</x:v>
      </x:c>
      <x:c r="F11" s="17"/>
      <x:c r="G11" s="22" t="str">
        <x:v>por_verificar</x:v>
      </x:c>
      <x:c r="H11" s="17" t="str">
        <x:v>Tequila base alta</x:v>
      </x:c>
      <x:c r="I11" s="17"/>
      <x:c r="J11" s="17"/>
      <x:c r="K11" s="17" t="str">
        <x:v>Acero con pintura Cubiertas melamina e) Concrete f) Mármol carrara</x:v>
      </x:c>
      <x:c r="L11" s="17" t="str">
        <x:v>60*60</x:v>
      </x:c>
      <x:c r="M11" s="17" t="str">
        <x:v>Acero con pintura electroestática Uso exterior techado Cubiertas melamina encapsulada para exteriores Resistente rayaduras, protección rayos UV, nulo mantenimiento, resistente a objetos calientes, quemaduras de cigarro. Uso rudo interior y exterior. a) Epoxy b) Indian rosewood c) Black d) Wengué e) Concrete f) Mármol carrara</x:v>
      </x:c>
      <x:c r="N11" s="22" t="str">
        <x:v>pieza</x:v>
      </x:c>
      <x:c r="O11" s="23" t="n">
        <x:v>2390</x:v>
      </x:c>
      <x:c r="P11" s="23" t="n">
        <x:v>3290</x:v>
      </x:c>
      <x:c r="Q11" s="17" t="str">
        <x:v>60*60 $3,290 – $2,390</x:v>
      </x:c>
      <x:c r="R11" s="22" t="str">
        <x:v>confirmado</x:v>
      </x:c>
      <x:c r="S11" s="22" t="str">
        <x:v>Sí</x:v>
      </x:c>
      <x:c r="T11" s="24"/>
      <x:c r="U11" s="17" t="str">
        <x:v>https://graph.microsoft.com/v1.0/me/drive/items/01DHXXN7YASXKBZPOLSBHIX2N2T3PB4G2R#page=5</x:v>
      </x:c>
      <x:c r="V11" s="17" t="str">
        <x:v>https://graph.microsoft.com/v1.0/me/drive/items/01DHXXN7YASXKBZPOLSBHIX2N2T3PB4G2R</x:v>
      </x:c>
      <x:c r="W11" s="17" t="str">
        <x:v>2cd7d2e302622adbd8343415e91c10f26eea2edc28dbce1f35f0696155220ce1</x:v>
      </x:c>
      <x:c r="X11" s="17" t="str">
        <x:v>SKU no publicado; se conserva una identidad técnica estable.</x:v>
      </x:c>
    </x:row>
    <x:row r="12" ht="34" customHeight="1">
      <x:c r="A12" s="17" t="str">
        <x:v>IDÉLIKA</x:v>
      </x:c>
      <x:c r="B12" s="17" t="str">
        <x:v>Stock</x:v>
      </x:c>
      <x:c r="C12" s="17" t="str">
        <x:v>2 CATALOGO STOCK 2026.pdf</x:v>
      </x:c>
      <x:c r="D12" s="21" t="n">
        <x:v>5</x:v>
      </x:c>
      <x:c r="E12" s="17" t="str">
        <x:v>idelika:stock:sin-sku:004d63a58d10a23f2c8f</x:v>
      </x:c>
      <x:c r="F12" s="17"/>
      <x:c r="G12" s="22" t="str">
        <x:v>por_verificar</x:v>
      </x:c>
      <x:c r="H12" s="17" t="str">
        <x:v>Tequila base alta</x:v>
      </x:c>
      <x:c r="I12" s="17"/>
      <x:c r="J12" s="17"/>
      <x:c r="K12" s="17" t="str">
        <x:v>Acero con pintura Cubiertas melamina e) Concrete f) Mármol carrara</x:v>
      </x:c>
      <x:c r="L12" s="17" t="str">
        <x:v>80*80</x:v>
      </x:c>
      <x:c r="M12" s="17" t="str">
        <x:v>Acero con pintura electroestática Uso exterior techado Cubiertas melamina encapsulada para exteriores Resistente rayaduras, protección rayos UV, nulo mantenimiento, resistente a objetos calientes, quemaduras de cigarro. Uso rudo interior y exterior. a) Epoxy b) Indian rosewood c) Black d) Wengué e) Concrete f) Mármol carrara</x:v>
      </x:c>
      <x:c r="N12" s="22" t="str">
        <x:v>pieza</x:v>
      </x:c>
      <x:c r="O12" s="23" t="n">
        <x:v>2990</x:v>
      </x:c>
      <x:c r="P12" s="23" t="n">
        <x:v>3990</x:v>
      </x:c>
      <x:c r="Q12" s="17" t="str">
        <x:v>80*80 $3,990 – $2,990</x:v>
      </x:c>
      <x:c r="R12" s="22" t="str">
        <x:v>confirmado</x:v>
      </x:c>
      <x:c r="S12" s="22" t="str">
        <x:v>Sí</x:v>
      </x:c>
      <x:c r="T12" s="24"/>
      <x:c r="U12" s="17" t="str">
        <x:v>https://graph.microsoft.com/v1.0/me/drive/items/01DHXXN7YASXKBZPOLSBHIX2N2T3PB4G2R#page=5</x:v>
      </x:c>
      <x:c r="V12" s="17" t="str">
        <x:v>https://graph.microsoft.com/v1.0/me/drive/items/01DHXXN7YASXKBZPOLSBHIX2N2T3PB4G2R</x:v>
      </x:c>
      <x:c r="W12" s="17" t="str">
        <x:v>004d63a58d10a23f2c8fd458e8e5bb9a2e425e02e8a3c7011f8aa65dd1641282</x:v>
      </x:c>
      <x:c r="X12" s="17" t="str">
        <x:v>SKU no publicado; se conserva una identidad técnica estable.</x:v>
      </x:c>
    </x:row>
    <x:row r="13" ht="34" customHeight="1">
      <x:c r="A13" s="17" t="str">
        <x:v>IDÉLIKA</x:v>
      </x:c>
      <x:c r="B13" s="17" t="str">
        <x:v>Stock</x:v>
      </x:c>
      <x:c r="C13" s="17" t="str">
        <x:v>2 CATALOGO STOCK 2026.pdf</x:v>
      </x:c>
      <x:c r="D13" s="21" t="n">
        <x:v>5</x:v>
      </x:c>
      <x:c r="E13" s="17" t="str">
        <x:v>idelika:stock:sin-sku:8ce2b93696cc17b73c40</x:v>
      </x:c>
      <x:c r="F13" s="17"/>
      <x:c r="G13" s="22" t="str">
        <x:v>por_verificar</x:v>
      </x:c>
      <x:c r="H13" s="17" t="str">
        <x:v>Tequila base alta</x:v>
      </x:c>
      <x:c r="I13" s="17"/>
      <x:c r="J13" s="17"/>
      <x:c r="K13" s="17" t="str">
        <x:v>Acero con pintura Cubiertas melamina e) Concrete f) Mármol carrara</x:v>
      </x:c>
      <x:c r="L13" s="17" t="str">
        <x:v>80*140</x:v>
      </x:c>
      <x:c r="M13" s="17" t="str">
        <x:v>Acero con pintura electroestática Uso exterior techado Cubiertas melamina encapsulada para exteriores Resistente rayaduras, protección rayos UV, nulo mantenimiento, resistente a objetos calientes, quemaduras de cigarro. Uso rudo interior y exterior. a) Epoxy b) Indian rosewood c) Black d) Wengué e) Concrete f) Mármol carrara</x:v>
      </x:c>
      <x:c r="N13" s="22" t="str">
        <x:v>pieza</x:v>
      </x:c>
      <x:c r="O13" s="23" t="n">
        <x:v>4990</x:v>
      </x:c>
      <x:c r="P13" s="23" t="n">
        <x:v>7990</x:v>
      </x:c>
      <x:c r="Q13" s="17" t="str">
        <x:v>80*140 $7,990 – $4,990</x:v>
      </x:c>
      <x:c r="R13" s="22" t="str">
        <x:v>confirmado</x:v>
      </x:c>
      <x:c r="S13" s="22" t="str">
        <x:v>Sí</x:v>
      </x:c>
      <x:c r="T13" s="24"/>
      <x:c r="U13" s="17" t="str">
        <x:v>https://graph.microsoft.com/v1.0/me/drive/items/01DHXXN7YASXKBZPOLSBHIX2N2T3PB4G2R#page=5</x:v>
      </x:c>
      <x:c r="V13" s="17" t="str">
        <x:v>https://graph.microsoft.com/v1.0/me/drive/items/01DHXXN7YASXKBZPOLSBHIX2N2T3PB4G2R</x:v>
      </x:c>
      <x:c r="W13" s="17" t="str">
        <x:v>8ce2b93696cc17b73c40a401962c86b7f5264c6e78d8f4307456361d6cbed37e</x:v>
      </x:c>
      <x:c r="X13" s="17" t="str">
        <x:v>SKU no publicado; se conserva una identidad técnica estable.</x:v>
      </x:c>
    </x:row>
    <x:row r="14" ht="34" customHeight="1">
      <x:c r="A14" s="17" t="str">
        <x:v>IDÉLIKA</x:v>
      </x:c>
      <x:c r="B14" s="17" t="str">
        <x:v>Stock</x:v>
      </x:c>
      <x:c r="C14" s="17" t="str">
        <x:v>2 CATALOGO STOCK 2026.pdf</x:v>
      </x:c>
      <x:c r="D14" s="21" t="n">
        <x:v>6</x:v>
      </x:c>
      <x:c r="E14" s="17" t="str">
        <x:v>idelika:stock:sin-sku:ec0d5ed65d5dbae471aa</x:v>
      </x:c>
      <x:c r="F14" s="17"/>
      <x:c r="G14" s="22" t="str">
        <x:v>por_verificar</x:v>
      </x:c>
      <x:c r="H14" s="17" t="str">
        <x:v>Belfort cama KS</x:v>
      </x:c>
      <x:c r="I14" s="17" t="str">
        <x:v>Belfort</x:v>
      </x:c>
      <x:c r="J14" s="17"/>
      <x:c r="K14" s="17"/>
      <x:c r="L14" s="17"/>
      <x:c r="M14" s="17" t="str">
        <x:v>Beige</x:v>
      </x:c>
      <x:c r="N14" s="22" t="str">
        <x:v>pieza</x:v>
      </x:c>
      <x:c r="O14" s="23" t="n">
        <x:v>26990</x:v>
      </x:c>
      <x:c r="P14" s="23" t="n">
        <x:v>29999</x:v>
      </x:c>
      <x:c r="Q14" s="17" t="str">
        <x:v>$29,999 - $26,990</x:v>
      </x:c>
      <x:c r="R14" s="22" t="str">
        <x:v>confirmado</x:v>
      </x:c>
      <x:c r="S14" s="22" t="str">
        <x:v>Sí</x:v>
      </x:c>
      <x:c r="T14" s="24"/>
      <x:c r="U14" s="17" t="str">
        <x:v>https://graph.microsoft.com/v1.0/me/drive/items/01DHXXN7YASXKBZPOLSBHIX2N2T3PB4G2R#page=6</x:v>
      </x:c>
      <x:c r="V14" s="17" t="str">
        <x:v>https://graph.microsoft.com/v1.0/me/drive/items/01DHXXN7YASXKBZPOLSBHIX2N2T3PB4G2R</x:v>
      </x:c>
      <x:c r="W14" s="17" t="str">
        <x:v>ec0d5ed65d5dbae471aa3aa1b6ccd927d2c0ae46fa200a97f20dfd53c2f0e36c</x:v>
      </x:c>
      <x:c r="X14" s="17" t="str">
        <x:v>SKU no publicado; se conserva una identidad técnica estable.</x:v>
      </x:c>
    </x:row>
    <x:row r="15" ht="34" customHeight="1">
      <x:c r="A15" s="17" t="str">
        <x:v>IDÉLIKA</x:v>
      </x:c>
      <x:c r="B15" s="17" t="str">
        <x:v>Stock</x:v>
      </x:c>
      <x:c r="C15" s="17" t="str">
        <x:v>2 CATALOGO STOCK 2026.pdf</x:v>
      </x:c>
      <x:c r="D15" s="21" t="n">
        <x:v>6</x:v>
      </x:c>
      <x:c r="E15" s="17" t="str">
        <x:v>idelika:stock:sin-sku:839bda18878cf9f18f1f</x:v>
      </x:c>
      <x:c r="F15" s="17"/>
      <x:c r="G15" s="22" t="str">
        <x:v>por_verificar</x:v>
      </x:c>
      <x:c r="H15" s="17" t="str">
        <x:v>Belfort Sala esquinera</x:v>
      </x:c>
      <x:c r="I15" s="17" t="str">
        <x:v>Belfort</x:v>
      </x:c>
      <x:c r="J15" s="17"/>
      <x:c r="K15" s="17"/>
      <x:c r="L15" s="17" t="str">
        <x:v>287*165*72</x:v>
      </x:c>
      <x:c r="M15" s="17" t="str">
        <x:v>Derecha o izquierda 287*165*72</x:v>
      </x:c>
      <x:c r="N15" s="22" t="str">
        <x:v>pieza</x:v>
      </x:c>
      <x:c r="O15" s="23" t="n">
        <x:v>39990</x:v>
      </x:c>
      <x:c r="P15" s="23" t="n">
        <x:v>45990</x:v>
      </x:c>
      <x:c r="Q15" s="17" t="str">
        <x:v>$45,990 - $39,990</x:v>
      </x:c>
      <x:c r="R15" s="22" t="str">
        <x:v>confirmado</x:v>
      </x:c>
      <x:c r="S15" s="22" t="str">
        <x:v>Sí</x:v>
      </x:c>
      <x:c r="T15" s="24"/>
      <x:c r="U15" s="17" t="str">
        <x:v>https://graph.microsoft.com/v1.0/me/drive/items/01DHXXN7YASXKBZPOLSBHIX2N2T3PB4G2R#page=6</x:v>
      </x:c>
      <x:c r="V15" s="17" t="str">
        <x:v>https://graph.microsoft.com/v1.0/me/drive/items/01DHXXN7YASXKBZPOLSBHIX2N2T3PB4G2R</x:v>
      </x:c>
      <x:c r="W15" s="17" t="str">
        <x:v>839bda18878cf9f18f1f532203ac8104b3016af810d60d257d0ba89c821f9a43</x:v>
      </x:c>
      <x:c r="X15" s="17" t="str">
        <x:v>SKU no publicado; se conserva una identidad técnica estable.</x:v>
      </x:c>
    </x:row>
    <x:row r="16" ht="34" customHeight="1">
      <x:c r="A16" s="17" t="str">
        <x:v>IDÉLIKA</x:v>
      </x:c>
      <x:c r="B16" s="17" t="str">
        <x:v>Stock</x:v>
      </x:c>
      <x:c r="C16" s="17" t="str">
        <x:v>2 CATALOGO STOCK 2026.pdf</x:v>
      </x:c>
      <x:c r="D16" s="21" t="n">
        <x:v>7</x:v>
      </x:c>
      <x:c r="E16" s="17" t="str">
        <x:v>idelika:stock:sin-sku:7f7735f4758f70a12f4c</x:v>
      </x:c>
      <x:c r="F16" s="17"/>
      <x:c r="G16" s="22" t="str">
        <x:v>por_verificar</x:v>
      </x:c>
      <x:c r="H16" s="17" t="str">
        <x:v>Manhattan set 1 sofá (3 seater) + 1 sofá (2.5 seater)</x:v>
      </x:c>
      <x:c r="I16" s="17" t="str">
        <x:v>Manhattan</x:v>
      </x:c>
      <x:c r="J16" s="17"/>
      <x:c r="K16" s="17"/>
      <x:c r="L16" s="17" t="str">
        <x:v>183¨*100*89</x:v>
      </x:c>
      <x:c r="M16" s="17" t="str">
        <x:v>218*100*89 183¨*100*89</x:v>
      </x:c>
      <x:c r="N16" s="22" t="str">
        <x:v>pieza</x:v>
      </x:c>
      <x:c r="O16" s="23" t="n">
        <x:v>39990</x:v>
      </x:c>
      <x:c r="P16" s="23" t="n">
        <x:v>45990</x:v>
      </x:c>
      <x:c r="Q16" s="17" t="str">
        <x:v>$45,990 - $39,990</x:v>
      </x:c>
      <x:c r="R16" s="22" t="str">
        <x:v>confirmado</x:v>
      </x:c>
      <x:c r="S16" s="22" t="str">
        <x:v>Sí</x:v>
      </x:c>
      <x:c r="T16" s="24"/>
      <x:c r="U16" s="17" t="str">
        <x:v>https://graph.microsoft.com/v1.0/me/drive/items/01DHXXN7YASXKBZPOLSBHIX2N2T3PB4G2R#page=7</x:v>
      </x:c>
      <x:c r="V16" s="17" t="str">
        <x:v>https://graph.microsoft.com/v1.0/me/drive/items/01DHXXN7YASXKBZPOLSBHIX2N2T3PB4G2R</x:v>
      </x:c>
      <x:c r="W16" s="17" t="str">
        <x:v>7f7735f4758f70a12f4c31429922db2401c8da9e69d171dd8d510b4fa96c939a</x:v>
      </x:c>
      <x:c r="X16" s="17" t="str">
        <x:v>SKU no publicado; se conserva una identidad técnica estable.</x:v>
      </x:c>
    </x:row>
    <x:row r="17" ht="34" customHeight="1">
      <x:c r="A17" s="17" t="str">
        <x:v>IDÉLIKA</x:v>
      </x:c>
      <x:c r="B17" s="17" t="str">
        <x:v>Stock</x:v>
      </x:c>
      <x:c r="C17" s="17" t="str">
        <x:v>2 CATALOGO STOCK 2026.pdf</x:v>
      </x:c>
      <x:c r="D17" s="21" t="n">
        <x:v>7</x:v>
      </x:c>
      <x:c r="E17" s="17" t="str">
        <x:v>idelika:stock:sin-sku:21745596f7f1a6fcd89a</x:v>
      </x:c>
      <x:c r="F17" s="17"/>
      <x:c r="G17" s="22" t="str">
        <x:v>por_verificar</x:v>
      </x:c>
      <x:c r="H17" s="17" t="str">
        <x:v>Manhattan cama KS</x:v>
      </x:c>
      <x:c r="I17" s="17" t="str">
        <x:v>Manhattan</x:v>
      </x:c>
      <x:c r="J17" s="17"/>
      <x:c r="K17" s="17"/>
      <x:c r="L17" s="17"/>
      <x:c r="M17" s="17" t="str">
        <x:v>Gris Manhattan</x:v>
      </x:c>
      <x:c r="N17" s="22" t="str">
        <x:v>pieza</x:v>
      </x:c>
      <x:c r="O17" s="23" t="n">
        <x:v>26990</x:v>
      </x:c>
      <x:c r="P17" s="23" t="n">
        <x:v>29999</x:v>
      </x:c>
      <x:c r="Q17" s="17" t="str">
        <x:v>$29,999 - $26,990</x:v>
      </x:c>
      <x:c r="R17" s="22" t="str">
        <x:v>confirmado</x:v>
      </x:c>
      <x:c r="S17" s="22" t="str">
        <x:v>Sí</x:v>
      </x:c>
      <x:c r="T17" s="24"/>
      <x:c r="U17" s="17" t="str">
        <x:v>https://graph.microsoft.com/v1.0/me/drive/items/01DHXXN7YASXKBZPOLSBHIX2N2T3PB4G2R#page=7</x:v>
      </x:c>
      <x:c r="V17" s="17" t="str">
        <x:v>https://graph.microsoft.com/v1.0/me/drive/items/01DHXXN7YASXKBZPOLSBHIX2N2T3PB4G2R</x:v>
      </x:c>
      <x:c r="W17" s="17" t="str">
        <x:v>21745596f7f1a6fcd89a9b4f72e0ebbbd5ee6ab3dee4f2b118c4f1299075b4fb</x:v>
      </x:c>
      <x:c r="X17" s="17" t="str">
        <x:v>SKU no publicado; se conserva una identidad técnica estable.</x:v>
      </x:c>
    </x:row>
    <x:row r="18" ht="34" customHeight="1">
      <x:c r="A18" s="17" t="str">
        <x:v>IDÉLIKA</x:v>
      </x:c>
      <x:c r="B18" s="17" t="str">
        <x:v>Stock</x:v>
      </x:c>
      <x:c r="C18" s="17" t="str">
        <x:v>2 CATALOGO STOCK 2026.pdf</x:v>
      </x:c>
      <x:c r="D18" s="21" t="n">
        <x:v>8</x:v>
      </x:c>
      <x:c r="E18" s="17" t="str">
        <x:v>idelika:stock:sin-sku:8856a1eb4a57927c78f1</x:v>
      </x:c>
      <x:c r="F18" s="17"/>
      <x:c r="G18" s="22" t="str">
        <x:v>por_verificar</x:v>
      </x:c>
      <x:c r="H18" s="17" t="str">
        <x:v>St. Mitchel Silla</x:v>
      </x:c>
      <x:c r="I18" s="17" t="str">
        <x:v>St. Mitchel</x:v>
      </x:c>
      <x:c r="J18" s="17"/>
      <x:c r="K18" s="17" t="str">
        <x:v>Ratán en Polipropileno sintético</x:v>
      </x:c>
      <x:c r="L18" s="17" t="str">
        <x:v>55*60*81</x:v>
      </x:c>
      <x:c r="M18" s="17" t="str">
        <x:v>Ratán en Polipropileno sintético 55*60*81 Negra/Blanca/Terracota Calidad contract (uso rudo)</x:v>
      </x:c>
      <x:c r="N18" s="22" t="str">
        <x:v>pieza</x:v>
      </x:c>
      <x:c r="O18" s="23" t="n">
        <x:v>1799</x:v>
      </x:c>
      <x:c r="P18" s="23" t="n">
        <x:v>1999</x:v>
      </x:c>
      <x:c r="Q18" s="17" t="str">
        <x:v>$1,999 – $1,799</x:v>
      </x:c>
      <x:c r="R18" s="22" t="str">
        <x:v>confirmado</x:v>
      </x:c>
      <x:c r="S18" s="22" t="str">
        <x:v>Sí</x:v>
      </x:c>
      <x:c r="T18" s="24"/>
      <x:c r="U18" s="17" t="str">
        <x:v>https://graph.microsoft.com/v1.0/me/drive/items/01DHXXN7YASXKBZPOLSBHIX2N2T3PB4G2R#page=8</x:v>
      </x:c>
      <x:c r="V18" s="17" t="str">
        <x:v>https://graph.microsoft.com/v1.0/me/drive/items/01DHXXN7YASXKBZPOLSBHIX2N2T3PB4G2R</x:v>
      </x:c>
      <x:c r="W18" s="17" t="str">
        <x:v>8856a1eb4a57927c78f1c0ae32ca6640f8cb3d4e841a07815340ec9f2fa441a5</x:v>
      </x:c>
      <x:c r="X18" s="17" t="str">
        <x:v>SKU no publicado; se conserva una identidad técnica estable.</x:v>
      </x:c>
    </x:row>
    <x:row r="19" ht="34" customHeight="1">
      <x:c r="A19" s="17" t="str">
        <x:v>IDÉLIKA</x:v>
      </x:c>
      <x:c r="B19" s="17" t="str">
        <x:v>Stock</x:v>
      </x:c>
      <x:c r="C19" s="17" t="str">
        <x:v>2 CATALOGO STOCK 2026.pdf</x:v>
      </x:c>
      <x:c r="D19" s="21" t="n">
        <x:v>8</x:v>
      </x:c>
      <x:c r="E19" s="17" t="str">
        <x:v>idelika:stock:sin-sku:1038da5e5fda5cebf5c9</x:v>
      </x:c>
      <x:c r="F19" s="17"/>
      <x:c r="G19" s="22" t="str">
        <x:v>por_verificar</x:v>
      </x:c>
      <x:c r="H19" s="17" t="str">
        <x:v>Pellegrino Mesa</x:v>
      </x:c>
      <x:c r="I19" s="17" t="str">
        <x:v>St. Mitchel</x:v>
      </x:c>
      <x:c r="J19" s="17"/>
      <x:c r="K19" s="17" t="str">
        <x:v>Polipropileno</x:v>
      </x:c>
      <x:c r="L19" s="17" t="str">
        <x:v>80*80*76</x:v>
      </x:c>
      <x:c r="M19" s="17" t="str">
        <x:v>Polipropileno 80*80*76 Calidad contract (uso rudo)</x:v>
      </x:c>
      <x:c r="N19" s="22" t="str">
        <x:v>pieza</x:v>
      </x:c>
      <x:c r="O19" s="23" t="n">
        <x:v>3999</x:v>
      </x:c>
      <x:c r="P19" s="23" t="n">
        <x:v>4499</x:v>
      </x:c>
      <x:c r="Q19" s="17" t="str">
        <x:v>$4,499 – $3,999</x:v>
      </x:c>
      <x:c r="R19" s="22" t="str">
        <x:v>confirmado</x:v>
      </x:c>
      <x:c r="S19" s="22" t="str">
        <x:v>Sí</x:v>
      </x:c>
      <x:c r="T19" s="24"/>
      <x:c r="U19" s="17" t="str">
        <x:v>https://graph.microsoft.com/v1.0/me/drive/items/01DHXXN7YASXKBZPOLSBHIX2N2T3PB4G2R#page=8</x:v>
      </x:c>
      <x:c r="V19" s="17" t="str">
        <x:v>https://graph.microsoft.com/v1.0/me/drive/items/01DHXXN7YASXKBZPOLSBHIX2N2T3PB4G2R</x:v>
      </x:c>
      <x:c r="W19" s="17" t="str">
        <x:v>1038da5e5fda5cebf5c9ae90d9fdf4b73b00e68c6bfa5adbc5ead09c2eaa37a7</x:v>
      </x:c>
      <x:c r="X19" s="17" t="str">
        <x:v>SKU no publicado; se conserva una identidad técnica estable.</x:v>
      </x:c>
    </x:row>
    <x:row r="20" ht="34" customHeight="1">
      <x:c r="A20" s="17" t="str">
        <x:v>IDÉLIKA</x:v>
      </x:c>
      <x:c r="B20" s="17" t="str">
        <x:v>Stock</x:v>
      </x:c>
      <x:c r="C20" s="17" t="str">
        <x:v>2 CATALOGO STOCK 2026.pdf</x:v>
      </x:c>
      <x:c r="D20" s="21" t="n">
        <x:v>8</x:v>
      </x:c>
      <x:c r="E20" s="17" t="str">
        <x:v>idelika:stock:sin-sku:baa17fcf4e9577a912cf</x:v>
      </x:c>
      <x:c r="F20" s="17"/>
      <x:c r="G20" s="22" t="str">
        <x:v>por_verificar</x:v>
      </x:c>
      <x:c r="H20" s="17" t="str">
        <x:v>St. Mitchel Banco</x:v>
      </x:c>
      <x:c r="I20" s="17" t="str">
        <x:v>St. Mitchel</x:v>
      </x:c>
      <x:c r="J20" s="17"/>
      <x:c r="K20" s="17" t="str">
        <x:v>Ratán en Polipropileno sintético</x:v>
      </x:c>
      <x:c r="L20" s="17" t="str">
        <x:v>41*53*103/75</x:v>
      </x:c>
      <x:c r="M20" s="17" t="str">
        <x:v>Ratán en Polipropileno sintético 41*53*103/75 Negra/Blanca/Terracota Calidad contract (uso rudo)</x:v>
      </x:c>
      <x:c r="N20" s="22" t="str">
        <x:v>pieza</x:v>
      </x:c>
      <x:c r="O20" s="23" t="n">
        <x:v>1999</x:v>
      </x:c>
      <x:c r="P20" s="23" t="n">
        <x:v>2199</x:v>
      </x:c>
      <x:c r="Q20" s="17" t="str">
        <x:v>$2,199 – $1,999</x:v>
      </x:c>
      <x:c r="R20" s="22" t="str">
        <x:v>confirmado</x:v>
      </x:c>
      <x:c r="S20" s="22" t="str">
        <x:v>Sí</x:v>
      </x:c>
      <x:c r="T20" s="24"/>
      <x:c r="U20" s="17" t="str">
        <x:v>https://graph.microsoft.com/v1.0/me/drive/items/01DHXXN7YASXKBZPOLSBHIX2N2T3PB4G2R#page=8</x:v>
      </x:c>
      <x:c r="V20" s="17" t="str">
        <x:v>https://graph.microsoft.com/v1.0/me/drive/items/01DHXXN7YASXKBZPOLSBHIX2N2T3PB4G2R</x:v>
      </x:c>
      <x:c r="W20" s="17" t="str">
        <x:v>baa17fcf4e9577a912cf0e2a4b8467b89d8ea5cbbe30550e2e15564f70ff31fb</x:v>
      </x:c>
      <x:c r="X20" s="17" t="str">
        <x:v>SKU no publicado; se conserva una identidad técnica estable.</x:v>
      </x:c>
    </x:row>
    <x:row r="21" ht="34" customHeight="1">
      <x:c r="A21" s="17" t="str">
        <x:v>IDÉLIKA</x:v>
      </x:c>
      <x:c r="B21" s="17" t="str">
        <x:v>Stock</x:v>
      </x:c>
      <x:c r="C21" s="17" t="str">
        <x:v>2 CATALOGO STOCK 2026.pdf</x:v>
      </x:c>
      <x:c r="D21" s="21" t="n">
        <x:v>9</x:v>
      </x:c>
      <x:c r="E21" s="17" t="str">
        <x:v>idelika:stock:sin-sku:fc6219b3e8bd61dd9185</x:v>
      </x:c>
      <x:c r="F21" s="17"/>
      <x:c r="G21" s="22" t="str">
        <x:v>por_verificar</x:v>
      </x:c>
      <x:c r="H21" s="17" t="str">
        <x:v>Pellegrino Silla</x:v>
      </x:c>
      <x:c r="I21" s="17" t="str">
        <x:v>Mediterraneo</x:v>
      </x:c>
      <x:c r="J21" s="17"/>
      <x:c r="K21" s="17" t="str">
        <x:v>Polipropileno</x:v>
      </x:c>
      <x:c r="L21" s="17" t="str">
        <x:v>45*50*53</x:v>
      </x:c>
      <x:c r="M21" s="17" t="str">
        <x:v>Polipropileno 45*50*53 Calidad contract (uso rudo)</x:v>
      </x:c>
      <x:c r="N21" s="22" t="str">
        <x:v>pieza</x:v>
      </x:c>
      <x:c r="O21" s="23" t="n">
        <x:v>1999</x:v>
      </x:c>
      <x:c r="P21" s="23" t="n">
        <x:v>2499</x:v>
      </x:c>
      <x:c r="Q21" s="17" t="str">
        <x:v>$2,499 – $1,999</x:v>
      </x:c>
      <x:c r="R21" s="22" t="str">
        <x:v>confirmado</x:v>
      </x:c>
      <x:c r="S21" s="22" t="str">
        <x:v>Sí</x:v>
      </x:c>
      <x:c r="T21" s="24"/>
      <x:c r="U21" s="17" t="str">
        <x:v>https://graph.microsoft.com/v1.0/me/drive/items/01DHXXN7YASXKBZPOLSBHIX2N2T3PB4G2R#page=9</x:v>
      </x:c>
      <x:c r="V21" s="17" t="str">
        <x:v>https://graph.microsoft.com/v1.0/me/drive/items/01DHXXN7YASXKBZPOLSBHIX2N2T3PB4G2R</x:v>
      </x:c>
      <x:c r="W21" s="17" t="str">
        <x:v>fc6219b3e8bd61dd9185b389251a20c1b1bda3861864be651ea98eaa575bad61</x:v>
      </x:c>
      <x:c r="X21" s="17" t="str">
        <x:v>SKU no publicado; se conserva una identidad técnica estable.</x:v>
      </x:c>
    </x:row>
    <x:row r="22" ht="34" customHeight="1">
      <x:c r="A22" s="17" t="str">
        <x:v>IDÉLIKA</x:v>
      </x:c>
      <x:c r="B22" s="17" t="str">
        <x:v>Stock</x:v>
      </x:c>
      <x:c r="C22" s="17" t="str">
        <x:v>2 CATALOGO STOCK 2026.pdf</x:v>
      </x:c>
      <x:c r="D22" s="21" t="n">
        <x:v>9</x:v>
      </x:c>
      <x:c r="E22" s="17" t="str">
        <x:v>idelika:stock:sin-sku:d0c1aa5f3d4b2afdaebb</x:v>
      </x:c>
      <x:c r="F22" s="17"/>
      <x:c r="G22" s="22" t="str">
        <x:v>por_verificar</x:v>
      </x:c>
      <x:c r="H22" s="17" t="str">
        <x:v>Calabria Silla</x:v>
      </x:c>
      <x:c r="I22" s="17" t="str">
        <x:v>Mediterraneo</x:v>
      </x:c>
      <x:c r="J22" s="17"/>
      <x:c r="K22" s="17" t="str">
        <x:v>Polipropileno y Ratán en Polipropileno sintético</x:v>
      </x:c>
      <x:c r="L22" s="17" t="str">
        <x:v>41*52*81</x:v>
      </x:c>
      <x:c r="M22" s="17" t="str">
        <x:v>Polipropileno y Ratán en Polipropileno sintético 41*52*81 Calidad contract (uso rudo)</x:v>
      </x:c>
      <x:c r="N22" s="22" t="str">
        <x:v>pieza</x:v>
      </x:c>
      <x:c r="O22" s="23" t="n">
        <x:v>1999</x:v>
      </x:c>
      <x:c r="P22" s="23" t="n">
        <x:v>2499</x:v>
      </x:c>
      <x:c r="Q22" s="17" t="str">
        <x:v>$2,499 – $1,999</x:v>
      </x:c>
      <x:c r="R22" s="22" t="str">
        <x:v>confirmado</x:v>
      </x:c>
      <x:c r="S22" s="22" t="str">
        <x:v>Sí</x:v>
      </x:c>
      <x:c r="T22" s="24"/>
      <x:c r="U22" s="17" t="str">
        <x:v>https://graph.microsoft.com/v1.0/me/drive/items/01DHXXN7YASXKBZPOLSBHIX2N2T3PB4G2R#page=9</x:v>
      </x:c>
      <x:c r="V22" s="17" t="str">
        <x:v>https://graph.microsoft.com/v1.0/me/drive/items/01DHXXN7YASXKBZPOLSBHIX2N2T3PB4G2R</x:v>
      </x:c>
      <x:c r="W22" s="17" t="str">
        <x:v>d0c1aa5f3d4b2afdaebb1db14d28e6d0040107e0fc830dd2d449c8c4302017fd</x:v>
      </x:c>
      <x:c r="X22" s="17" t="str">
        <x:v>SKU no publicado; se conserva una identidad técnica estable.</x:v>
      </x:c>
    </x:row>
    <x:row r="23" ht="34" customHeight="1">
      <x:c r="A23" s="17" t="str">
        <x:v>IDÉLIKA</x:v>
      </x:c>
      <x:c r="B23" s="17" t="str">
        <x:v>Stock</x:v>
      </x:c>
      <x:c r="C23" s="17" t="str">
        <x:v>2 CATALOGO STOCK 2026.pdf</x:v>
      </x:c>
      <x:c r="D23" s="21" t="n">
        <x:v>9</x:v>
      </x:c>
      <x:c r="E23" s="17" t="str">
        <x:v>idelika:stock:sin-sku:fcd186b18d2cb420692c</x:v>
      </x:c>
      <x:c r="F23" s="17"/>
      <x:c r="G23" s="22" t="str">
        <x:v>por_verificar</x:v>
      </x:c>
      <x:c r="H23" s="17" t="str">
        <x:v>Pellegrino Mesa</x:v>
      </x:c>
      <x:c r="I23" s="17" t="str">
        <x:v>Mediterraneo</x:v>
      </x:c>
      <x:c r="J23" s="17"/>
      <x:c r="K23" s="17" t="str">
        <x:v>Polipropileno</x:v>
      </x:c>
      <x:c r="L23" s="17" t="str">
        <x:v>80*80*76</x:v>
      </x:c>
      <x:c r="M23" s="17" t="str">
        <x:v>Polipropileno 80*80*76 Calidad contract (uso rudo) Mediterraneo</x:v>
      </x:c>
      <x:c r="N23" s="22" t="str">
        <x:v>pieza</x:v>
      </x:c>
      <x:c r="O23" s="23" t="n">
        <x:v>3999</x:v>
      </x:c>
      <x:c r="P23" s="23" t="n">
        <x:v>5499</x:v>
      </x:c>
      <x:c r="Q23" s="17" t="str">
        <x:v>$5,499 – $3,999</x:v>
      </x:c>
      <x:c r="R23" s="22" t="str">
        <x:v>confirmado</x:v>
      </x:c>
      <x:c r="S23" s="22" t="str">
        <x:v>Sí</x:v>
      </x:c>
      <x:c r="T23" s="24"/>
      <x:c r="U23" s="17" t="str">
        <x:v>https://graph.microsoft.com/v1.0/me/drive/items/01DHXXN7YASXKBZPOLSBHIX2N2T3PB4G2R#page=9</x:v>
      </x:c>
      <x:c r="V23" s="17" t="str">
        <x:v>https://graph.microsoft.com/v1.0/me/drive/items/01DHXXN7YASXKBZPOLSBHIX2N2T3PB4G2R</x:v>
      </x:c>
      <x:c r="W23" s="17" t="str">
        <x:v>fcd186b18d2cb420692ce1d5a7dc2fe968ce5d5584d5f1c1c4d35353d87922df</x:v>
      </x:c>
      <x:c r="X23" s="17" t="str">
        <x:v>SKU no publicado; se conserva una identidad técnica estable.</x:v>
      </x:c>
    </x:row>
    <x:row r="24" ht="34" customHeight="1">
      <x:c r="A24" s="17" t="str">
        <x:v>IDÉLIKA</x:v>
      </x:c>
      <x:c r="B24" s="17" t="str">
        <x:v>Stock</x:v>
      </x:c>
      <x:c r="C24" s="17" t="str">
        <x:v>2 CATALOGO STOCK 2026.pdf</x:v>
      </x:c>
      <x:c r="D24" s="21" t="n">
        <x:v>10</x:v>
      </x:c>
      <x:c r="E24" s="17" t="str">
        <x:v>idelika:stock:sin-sku:b2d00f0b149a17f4a9cf</x:v>
      </x:c>
      <x:c r="F24" s="17"/>
      <x:c r="G24" s="22" t="str">
        <x:v>por_verificar</x:v>
      </x:c>
      <x:c r="H24" s="17" t="str">
        <x:v>Pellegrino Mesa</x:v>
      </x:c>
      <x:c r="I24" s="17"/>
      <x:c r="J24" s="17"/>
      <x:c r="K24" s="17" t="str">
        <x:v>Polipropileno</x:v>
      </x:c>
      <x:c r="L24" s="17" t="str">
        <x:v>80*80*76</x:v>
      </x:c>
      <x:c r="M24" s="17" t="str">
        <x:v>Polipropileno 80*80*76 Calidad contract (uso rudo)</x:v>
      </x:c>
      <x:c r="N24" s="22" t="str">
        <x:v>pieza</x:v>
      </x:c>
      <x:c r="O24" s="23" t="n">
        <x:v>3999</x:v>
      </x:c>
      <x:c r="P24" s="23" t="n">
        <x:v>5499</x:v>
      </x:c>
      <x:c r="Q24" s="17" t="str">
        <x:v>$5,499 – $3,999</x:v>
      </x:c>
      <x:c r="R24" s="22" t="str">
        <x:v>confirmado</x:v>
      </x:c>
      <x:c r="S24" s="22" t="str">
        <x:v>Sí</x:v>
      </x:c>
      <x:c r="T24" s="24"/>
      <x:c r="U24" s="17" t="str">
        <x:v>https://graph.microsoft.com/v1.0/me/drive/items/01DHXXN7YASXKBZPOLSBHIX2N2T3PB4G2R#page=10</x:v>
      </x:c>
      <x:c r="V24" s="17" t="str">
        <x:v>https://graph.microsoft.com/v1.0/me/drive/items/01DHXXN7YASXKBZPOLSBHIX2N2T3PB4G2R</x:v>
      </x:c>
      <x:c r="W24" s="17" t="str">
        <x:v>b2d00f0b149a17f4a9cf43f12658d50dab4f1dee1e4aeb4784cf6f186e8f0ef7</x:v>
      </x:c>
      <x:c r="X24" s="17" t="str">
        <x:v>SKU no publicado; se conserva una identidad técnica estable.</x:v>
      </x:c>
    </x:row>
    <x:row r="25" ht="34" customHeight="1">
      <x:c r="A25" s="17" t="str">
        <x:v>IDÉLIKA</x:v>
      </x:c>
      <x:c r="B25" s="17" t="str">
        <x:v>Stock</x:v>
      </x:c>
      <x:c r="C25" s="17" t="str">
        <x:v>2 CATALOGO STOCK 2026.pdf</x:v>
      </x:c>
      <x:c r="D25" s="21" t="n">
        <x:v>10</x:v>
      </x:c>
      <x:c r="E25" s="17" t="str">
        <x:v>idelika:stock:sin-sku:23bcf473937eadcc2f77</x:v>
      </x:c>
      <x:c r="F25" s="17"/>
      <x:c r="G25" s="22" t="str">
        <x:v>por_verificar</x:v>
      </x:c>
      <x:c r="H25" s="17" t="str">
        <x:v>Palermo Silla</x:v>
      </x:c>
      <x:c r="I25" s="17"/>
      <x:c r="J25" s="17"/>
      <x:c r="K25" s="17" t="str">
        <x:v>Polipropileno y Ratán en polipropileno sintético</x:v>
      </x:c>
      <x:c r="L25" s="17" t="str">
        <x:v>58*58*84</x:v>
      </x:c>
      <x:c r="M25" s="17" t="str">
        <x:v>Polipropileno y Ratán en polipropileno sintético 58*58*84 Calidad contract (uso rudo)</x:v>
      </x:c>
      <x:c r="N25" s="22" t="str">
        <x:v>pieza</x:v>
      </x:c>
      <x:c r="O25" s="23" t="n">
        <x:v>1999</x:v>
      </x:c>
      <x:c r="P25" s="23" t="n">
        <x:v>2499</x:v>
      </x:c>
      <x:c r="Q25" s="17" t="str">
        <x:v>$2,499 – $1,999</x:v>
      </x:c>
      <x:c r="R25" s="22" t="str">
        <x:v>confirmado</x:v>
      </x:c>
      <x:c r="S25" s="22" t="str">
        <x:v>Sí</x:v>
      </x:c>
      <x:c r="T25" s="24"/>
      <x:c r="U25" s="17" t="str">
        <x:v>https://graph.microsoft.com/v1.0/me/drive/items/01DHXXN7YASXKBZPOLSBHIX2N2T3PB4G2R#page=10</x:v>
      </x:c>
      <x:c r="V25" s="17" t="str">
        <x:v>https://graph.microsoft.com/v1.0/me/drive/items/01DHXXN7YASXKBZPOLSBHIX2N2T3PB4G2R</x:v>
      </x:c>
      <x:c r="W25" s="17" t="str">
        <x:v>23bcf473937eadcc2f7736de12c46bd9f3beee2a5fa03f98b71a0948f5b890d8</x:v>
      </x:c>
      <x:c r="X25" s="17" t="str">
        <x:v>SKU no publicado; se conserva una identidad técnica estable.</x:v>
      </x:c>
    </x:row>
    <x:row r="26" ht="34" customHeight="1">
      <x:c r="A26" s="17" t="str">
        <x:v>IDÉLIKA</x:v>
      </x:c>
      <x:c r="B26" s="17" t="str">
        <x:v>Stock</x:v>
      </x:c>
      <x:c r="C26" s="17" t="str">
        <x:v>2 CATALOGO STOCK 2026.pdf</x:v>
      </x:c>
      <x:c r="D26" s="21" t="n">
        <x:v>11</x:v>
      </x:c>
      <x:c r="E26" s="17" t="str">
        <x:v>idelika:stock:sin-sku:00c6b47ea4fb372b4ae4</x:v>
      </x:c>
      <x:c r="F26" s="17"/>
      <x:c r="G26" s="22" t="str">
        <x:v>por_verificar</x:v>
      </x:c>
      <x:c r="H26" s="17" t="str">
        <x:v>Tuscany sombrilla de brazo</x:v>
      </x:c>
      <x:c r="I26" s="17"/>
      <x:c r="J26" s="17"/>
      <x:c r="K26" s="17" t="str">
        <x:v>Aluminio 100% exterior y loneta Base de piedra de mármol</x:v>
      </x:c>
      <x:c r="L26" s="17" t="str">
        <x:v>Importación 3m diámetro</x:v>
      </x:c>
      <x:c r="M26" s="17" t="str">
        <x:v>Aluminio 100% exterior y loneta Base de piedra de mármol</x:v>
      </x:c>
      <x:c r="N26" s="22" t="str">
        <x:v>pieza</x:v>
      </x:c>
      <x:c r="O26" s="23" t="n">
        <x:v>14990</x:v>
      </x:c>
      <x:c r="P26" s="23" t="n">
        <x:v>16990</x:v>
      </x:c>
      <x:c r="Q26" s="17" t="str">
        <x:v>$16,990 – $14,990</x:v>
      </x:c>
      <x:c r="R26" s="22" t="str">
        <x:v>confirmado</x:v>
      </x:c>
      <x:c r="S26" s="22" t="str">
        <x:v>Sí</x:v>
      </x:c>
      <x:c r="T26" s="24"/>
      <x:c r="U26" s="17" t="str">
        <x:v>https://graph.microsoft.com/v1.0/me/drive/items/01DHXXN7YASXKBZPOLSBHIX2N2T3PB4G2R#page=11</x:v>
      </x:c>
      <x:c r="V26" s="17" t="str">
        <x:v>https://graph.microsoft.com/v1.0/me/drive/items/01DHXXN7YASXKBZPOLSBHIX2N2T3PB4G2R</x:v>
      </x:c>
      <x:c r="W26" s="17" t="str">
        <x:v>00c6b47ea4fb372b4ae4b804e94eebccc7480b209963a525bbbb23c90c061d66</x:v>
      </x:c>
      <x:c r="X26" s="17" t="str">
        <x:v>SKU no publicado; se conserva una identidad técnica estable.</x:v>
      </x:c>
    </x:row>
    <x:row r="27" ht="34" customHeight="1">
      <x:c r="A27" s="17" t="str">
        <x:v>IDÉLIKA</x:v>
      </x:c>
      <x:c r="B27" s="17" t="str">
        <x:v>Stock</x:v>
      </x:c>
      <x:c r="C27" s="17" t="str">
        <x:v>2 CATALOGO STOCK 2026.pdf</x:v>
      </x:c>
      <x:c r="D27" s="21" t="n">
        <x:v>11</x:v>
      </x:c>
      <x:c r="E27" s="17" t="str">
        <x:v>idelika:stock:sin-sku:5e3906126ff7b5aa4b16</x:v>
      </x:c>
      <x:c r="F27" s="17"/>
      <x:c r="G27" s="22" t="str">
        <x:v>por_verificar</x:v>
      </x:c>
      <x:c r="H27" s="17" t="str">
        <x:v>Tuscany sombrilla</x:v>
      </x:c>
      <x:c r="I27" s="17"/>
      <x:c r="J27" s="17"/>
      <x:c r="K27" s="17" t="str">
        <x:v>Aluminio 100% exterior y loneta Base de piedra de marmol</x:v>
      </x:c>
      <x:c r="L27" s="17" t="str">
        <x:v>2.70 metros de diámetro</x:v>
      </x:c>
      <x:c r="M27" s="17" t="str">
        <x:v>Aluminio 100% exterior y loneta Base de piedra de marmol 2.70 metros de diámetro</x:v>
      </x:c>
      <x:c r="N27" s="22" t="str">
        <x:v>pieza</x:v>
      </x:c>
      <x:c r="O27" s="23" t="n">
        <x:v>6990</x:v>
      </x:c>
      <x:c r="P27" s="23" t="n">
        <x:v>7990</x:v>
      </x:c>
      <x:c r="Q27" s="17" t="str">
        <x:v>$7,990 – $6,990</x:v>
      </x:c>
      <x:c r="R27" s="22" t="str">
        <x:v>confirmado</x:v>
      </x:c>
      <x:c r="S27" s="22" t="str">
        <x:v>Sí</x:v>
      </x:c>
      <x:c r="T27" s="24"/>
      <x:c r="U27" s="17" t="str">
        <x:v>https://graph.microsoft.com/v1.0/me/drive/items/01DHXXN7YASXKBZPOLSBHIX2N2T3PB4G2R#page=11</x:v>
      </x:c>
      <x:c r="V27" s="17" t="str">
        <x:v>https://graph.microsoft.com/v1.0/me/drive/items/01DHXXN7YASXKBZPOLSBHIX2N2T3PB4G2R</x:v>
      </x:c>
      <x:c r="W27" s="17" t="str">
        <x:v>5e3906126ff7b5aa4b1609118cf07757d2bd14bd9d7009b605570e26b1a794d7</x:v>
      </x:c>
      <x:c r="X27" s="17" t="str">
        <x:v>SKU no publicado; se conserva una identidad técnica estable.</x:v>
      </x:c>
    </x:row>
    <x:row r="28" ht="34" customHeight="1">
      <x:c r="A28" s="17" t="str">
        <x:v>IDÉLIKA</x:v>
      </x:c>
      <x:c r="B28" s="17" t="str">
        <x:v>Stock</x:v>
      </x:c>
      <x:c r="C28" s="17" t="str">
        <x:v>2 CATALOGO STOCK 2026.pdf</x:v>
      </x:c>
      <x:c r="D28" s="21" t="n">
        <x:v>11</x:v>
      </x:c>
      <x:c r="E28" s="17" t="str">
        <x:v>idelika:stock:sin-sku:363ec1186950952e2688</x:v>
      </x:c>
      <x:c r="F28" s="17"/>
      <x:c r="G28" s="22" t="str">
        <x:v>por_verificar</x:v>
      </x:c>
      <x:c r="H28" s="17" t="str">
        <x:v>Silla Arles</x:v>
      </x:c>
      <x:c r="I28" s="17"/>
      <x:c r="J28" s="17"/>
      <x:c r="K28" s="17" t="str">
        <x:v>Aluminio y polywood</x:v>
      </x:c>
      <x:c r="L28" s="17" t="str">
        <x:v>55*57*84</x:v>
      </x:c>
      <x:c r="M28" s="17" t="str">
        <x:v>Aluminio y polywood 55*57*84</x:v>
      </x:c>
      <x:c r="N28" s="22" t="str">
        <x:v>pieza</x:v>
      </x:c>
      <x:c r="O28" s="23" t="n">
        <x:v>3299</x:v>
      </x:c>
      <x:c r="P28" s="23" t="n">
        <x:v>3799</x:v>
      </x:c>
      <x:c r="Q28" s="17" t="str">
        <x:v>$3,799 – $3,299</x:v>
      </x:c>
      <x:c r="R28" s="22" t="str">
        <x:v>confirmado</x:v>
      </x:c>
      <x:c r="S28" s="22" t="str">
        <x:v>Sí</x:v>
      </x:c>
      <x:c r="T28" s="24"/>
      <x:c r="U28" s="17" t="str">
        <x:v>https://graph.microsoft.com/v1.0/me/drive/items/01DHXXN7YASXKBZPOLSBHIX2N2T3PB4G2R#page=11</x:v>
      </x:c>
      <x:c r="V28" s="17" t="str">
        <x:v>https://graph.microsoft.com/v1.0/me/drive/items/01DHXXN7YASXKBZPOLSBHIX2N2T3PB4G2R</x:v>
      </x:c>
      <x:c r="W28" s="17" t="str">
        <x:v>363ec1186950952e26882b4242bb455810f8e75105d8e7e60cd0691979e57b57</x:v>
      </x:c>
      <x:c r="X28" s="17" t="str">
        <x:v>SKU no publicado; se conserva una identidad técnica estable.</x:v>
      </x:c>
    </x:row>
    <x:row r="29" ht="34" customHeight="1">
      <x:c r="A29" s="17" t="str">
        <x:v>IDÉLIKA</x:v>
      </x:c>
      <x:c r="B29" s="17" t="str">
        <x:v>Stock</x:v>
      </x:c>
      <x:c r="C29" s="17" t="str">
        <x:v>2 CATALOGO STOCK 2026.pdf</x:v>
      </x:c>
      <x:c r="D29" s="21" t="n">
        <x:v>11</x:v>
      </x:c>
      <x:c r="E29" s="17" t="str">
        <x:v>idelika:stock:sin-sku:39122348308f3328116d</x:v>
      </x:c>
      <x:c r="F29" s="17"/>
      <x:c r="G29" s="22" t="str">
        <x:v>por_verificar</x:v>
      </x:c>
      <x:c r="H29" s="17" t="str">
        <x:v>Mesa Arles</x:v>
      </x:c>
      <x:c r="I29" s="17"/>
      <x:c r="J29" s="17"/>
      <x:c r="K29" s="17" t="str">
        <x:v>Aluminio y polywood</x:v>
      </x:c>
      <x:c r="L29" s="17" t="str">
        <x:v>80*80*74 alto</x:v>
      </x:c>
      <x:c r="M29" s="17" t="str">
        <x:v>Aluminio y polywood 80*80*74 alto</x:v>
      </x:c>
      <x:c r="N29" s="22" t="str">
        <x:v>pieza</x:v>
      </x:c>
      <x:c r="O29" s="23" t="n">
        <x:v>5990</x:v>
      </x:c>
      <x:c r="P29" s="23" t="n">
        <x:v>6990</x:v>
      </x:c>
      <x:c r="Q29" s="17" t="str">
        <x:v>$6,990 – $5,990</x:v>
      </x:c>
      <x:c r="R29" s="22" t="str">
        <x:v>confirmado</x:v>
      </x:c>
      <x:c r="S29" s="22" t="str">
        <x:v>Sí</x:v>
      </x:c>
      <x:c r="T29" s="24"/>
      <x:c r="U29" s="17" t="str">
        <x:v>https://graph.microsoft.com/v1.0/me/drive/items/01DHXXN7YASXKBZPOLSBHIX2N2T3PB4G2R#page=11</x:v>
      </x:c>
      <x:c r="V29" s="17" t="str">
        <x:v>https://graph.microsoft.com/v1.0/me/drive/items/01DHXXN7YASXKBZPOLSBHIX2N2T3PB4G2R</x:v>
      </x:c>
      <x:c r="W29" s="17" t="str">
        <x:v>39122348308f3328116d0b7366be60b52f9ba54e7ad38e7b992963dface41f3d</x:v>
      </x:c>
      <x:c r="X29" s="17" t="str">
        <x:v>SKU no publicado; se conserva una identidad técnica estable.</x:v>
      </x:c>
    </x:row>
    <x:row r="30" ht="34" customHeight="1">
      <x:c r="A30" s="17" t="str">
        <x:v>IDÉLIKA</x:v>
      </x:c>
      <x:c r="B30" s="17" t="str">
        <x:v>Stock</x:v>
      </x:c>
      <x:c r="C30" s="17" t="str">
        <x:v>2 CATALOGO STOCK 2026.pdf</x:v>
      </x:c>
      <x:c r="D30" s="21" t="n">
        <x:v>12</x:v>
      </x:c>
      <x:c r="E30" s="17" t="str">
        <x:v>idelika:stock:sin-sku:f50914cfde3ca05ce394</x:v>
      </x:c>
      <x:c r="F30" s="17"/>
      <x:c r="G30" s="22" t="str">
        <x:v>por_verificar</x:v>
      </x:c>
      <x:c r="H30" s="17" t="str">
        <x:v>Silla Nimes</x:v>
      </x:c>
      <x:c r="I30" s="17"/>
      <x:c r="J30" s="17"/>
      <x:c r="K30" s="17" t="str">
        <x:v>Aluminio y whicker</x:v>
      </x:c>
      <x:c r="L30" s="17" t="str">
        <x:v>57*62*90</x:v>
      </x:c>
      <x:c r="M30" s="17" t="str">
        <x:v>Aluminio y whicker 57*62*90</x:v>
      </x:c>
      <x:c r="N30" s="22" t="str">
        <x:v>pieza</x:v>
      </x:c>
      <x:c r="O30" s="23" t="n">
        <x:v>3299</x:v>
      </x:c>
      <x:c r="P30" s="23" t="n">
        <x:v>3799</x:v>
      </x:c>
      <x:c r="Q30" s="17" t="str">
        <x:v>$3,799 – $3,299</x:v>
      </x:c>
      <x:c r="R30" s="22" t="str">
        <x:v>confirmado</x:v>
      </x:c>
      <x:c r="S30" s="22" t="str">
        <x:v>Sí</x:v>
      </x:c>
      <x:c r="T30" s="24"/>
      <x:c r="U30" s="17" t="str">
        <x:v>https://graph.microsoft.com/v1.0/me/drive/items/01DHXXN7YASXKBZPOLSBHIX2N2T3PB4G2R#page=12</x:v>
      </x:c>
      <x:c r="V30" s="17" t="str">
        <x:v>https://graph.microsoft.com/v1.0/me/drive/items/01DHXXN7YASXKBZPOLSBHIX2N2T3PB4G2R</x:v>
      </x:c>
      <x:c r="W30" s="17" t="str">
        <x:v>f50914cfde3ca05ce394669217bcd8aeb7ee960fff56b7d9801006e6f026b7ed</x:v>
      </x:c>
      <x:c r="X30" s="17" t="str">
        <x:v>SKU no publicado; se conserva una identidad técnica estable.</x:v>
      </x:c>
    </x:row>
    <x:row r="31" ht="34" customHeight="1">
      <x:c r="A31" s="17" t="str">
        <x:v>IDÉLIKA</x:v>
      </x:c>
      <x:c r="B31" s="17" t="str">
        <x:v>Stock</x:v>
      </x:c>
      <x:c r="C31" s="17" t="str">
        <x:v>2 CATALOGO STOCK 2026.pdf</x:v>
      </x:c>
      <x:c r="D31" s="21" t="n">
        <x:v>12</x:v>
      </x:c>
      <x:c r="E31" s="17" t="str">
        <x:v>idelika:stock:sin-sku:9890fa7c7665f0db79b3</x:v>
      </x:c>
      <x:c r="F31" s="17"/>
      <x:c r="G31" s="22" t="str">
        <x:v>por_verificar</x:v>
      </x:c>
      <x:c r="H31" s="17" t="str">
        <x:v>Mesa Nimes</x:v>
      </x:c>
      <x:c r="I31" s="17"/>
      <x:c r="J31" s="17"/>
      <x:c r="K31" s="17" t="str">
        <x:v>Aluminio y whicker</x:v>
      </x:c>
      <x:c r="L31" s="17" t="str">
        <x:v>70*70*74 alto</x:v>
      </x:c>
      <x:c r="M31" s="17" t="str">
        <x:v>Aluminio y whicker 70*70*74 alto</x:v>
      </x:c>
      <x:c r="N31" s="22" t="str">
        <x:v>pieza</x:v>
      </x:c>
      <x:c r="O31" s="23" t="n">
        <x:v>4999</x:v>
      </x:c>
      <x:c r="P31" s="23" t="n">
        <x:v>5990</x:v>
      </x:c>
      <x:c r="Q31" s="17" t="str">
        <x:v>$5,990 – $4,999</x:v>
      </x:c>
      <x:c r="R31" s="22" t="str">
        <x:v>confirmado</x:v>
      </x:c>
      <x:c r="S31" s="22" t="str">
        <x:v>Sí</x:v>
      </x:c>
      <x:c r="T31" s="24"/>
      <x:c r="U31" s="17" t="str">
        <x:v>https://graph.microsoft.com/v1.0/me/drive/items/01DHXXN7YASXKBZPOLSBHIX2N2T3PB4G2R#page=12</x:v>
      </x:c>
      <x:c r="V31" s="17" t="str">
        <x:v>https://graph.microsoft.com/v1.0/me/drive/items/01DHXXN7YASXKBZPOLSBHIX2N2T3PB4G2R</x:v>
      </x:c>
      <x:c r="W31" s="17" t="str">
        <x:v>9890fa7c7665f0db79b3e399e17b27630703176c7c25cfb5d73447fc488557d2</x:v>
      </x:c>
      <x:c r="X31" s="17" t="str">
        <x:v>SKU no publicado; se conserva una identidad técnica estable.</x:v>
      </x:c>
    </x:row>
    <x:row r="32" ht="34" customHeight="1">
      <x:c r="A32" s="17" t="str">
        <x:v>IDÉLIKA</x:v>
      </x:c>
      <x:c r="B32" s="17" t="str">
        <x:v>Stock</x:v>
      </x:c>
      <x:c r="C32" s="17" t="str">
        <x:v>2 CATALOGO STOCK 2026.pdf</x:v>
      </x:c>
      <x:c r="D32" s="21" t="n">
        <x:v>12</x:v>
      </x:c>
      <x:c r="E32" s="17" t="str">
        <x:v>idelika:stock:sin-sku:ffae4f0e26d5fe6988a4</x:v>
      </x:c>
      <x:c r="F32" s="17"/>
      <x:c r="G32" s="22" t="str">
        <x:v>por_verificar</x:v>
      </x:c>
      <x:c r="H32" s="17" t="str">
        <x:v>Pergola Motorizada Premium</x:v>
      </x:c>
      <x:c r="I32" s="17"/>
      <x:c r="J32" s="17"/>
      <x:c r="K32" s="17" t="str">
        <x:v>Aluminio y textilene</x:v>
      </x:c>
      <x:c r="L32" s="17" t="str">
        <x:v>600*300*250 alto</x:v>
      </x:c>
      <x:c r="M32" s="17" t="str">
        <x:v>Aluminio y textilene motorizada 600*300*250 alto</x:v>
      </x:c>
      <x:c r="N32" s="22" t="str">
        <x:v>pieza</x:v>
      </x:c>
      <x:c r="O32" s="23" t="n">
        <x:v>149900</x:v>
      </x:c>
      <x:c r="P32" s="23" t="n">
        <x:v>159000</x:v>
      </x:c>
      <x:c r="Q32" s="17" t="str">
        <x:v>$159,000 – $149,900</x:v>
      </x:c>
      <x:c r="R32" s="22" t="str">
        <x:v>confirmado</x:v>
      </x:c>
      <x:c r="S32" s="22" t="str">
        <x:v>Sí</x:v>
      </x:c>
      <x:c r="T32" s="24"/>
      <x:c r="U32" s="17" t="str">
        <x:v>https://graph.microsoft.com/v1.0/me/drive/items/01DHXXN7YASXKBZPOLSBHIX2N2T3PB4G2R#page=12</x:v>
      </x:c>
      <x:c r="V32" s="17" t="str">
        <x:v>https://graph.microsoft.com/v1.0/me/drive/items/01DHXXN7YASXKBZPOLSBHIX2N2T3PB4G2R</x:v>
      </x:c>
      <x:c r="W32" s="17" t="str">
        <x:v>ffae4f0e26d5fe6988a4e147527327b4a7193f6dd0b9979cd7366d56e414f49c</x:v>
      </x:c>
      <x:c r="X32" s="17" t="str">
        <x:v>SKU no publicado; se conserva una identidad técnica estable.</x:v>
      </x:c>
    </x:row>
    <x:row r="33" ht="34" customHeight="1">
      <x:c r="A33" s="17" t="str">
        <x:v>IDÉLIKA</x:v>
      </x:c>
      <x:c r="B33" s="17" t="str">
        <x:v>Stock</x:v>
      </x:c>
      <x:c r="C33" s="17" t="str">
        <x:v>2 CATALOGO STOCK 2026.pdf</x:v>
      </x:c>
      <x:c r="D33" s="21" t="n">
        <x:v>13</x:v>
      </x:c>
      <x:c r="E33" s="17" t="str">
        <x:v>idelika:stock:sin-sku:30175f1288f46626c65f</x:v>
      </x:c>
      <x:c r="F33" s="17"/>
      <x:c r="G33" s="22" t="str">
        <x:v>por_verificar</x:v>
      </x:c>
      <x:c r="H33" s="17" t="str">
        <x:v>Dafne mesa</x:v>
      </x:c>
      <x:c r="I33" s="17"/>
      <x:c r="J33" s="17"/>
      <x:c r="K33" s="17" t="str">
        <x:v>Madera de acacia</x:v>
      </x:c>
      <x:c r="L33" s="17" t="str">
        <x:v>120*75</x:v>
      </x:c>
      <x:c r="M33" s="17" t="str">
        <x:v>Madera de acacia 120*75</x:v>
      </x:c>
      <x:c r="N33" s="22" t="str">
        <x:v>pieza</x:v>
      </x:c>
      <x:c r="O33" s="23" t="n">
        <x:v>11990</x:v>
      </x:c>
      <x:c r="P33" s="23" t="n">
        <x:v>16990</x:v>
      </x:c>
      <x:c r="Q33" s="17" t="str">
        <x:v>$16,990 – $11,990</x:v>
      </x:c>
      <x:c r="R33" s="22" t="str">
        <x:v>confirmado</x:v>
      </x:c>
      <x:c r="S33" s="22" t="str">
        <x:v>Sí</x:v>
      </x:c>
      <x:c r="T33" s="24"/>
      <x:c r="U33" s="17" t="str">
        <x:v>https://graph.microsoft.com/v1.0/me/drive/items/01DHXXN7YASXKBZPOLSBHIX2N2T3PB4G2R#page=13</x:v>
      </x:c>
      <x:c r="V33" s="17" t="str">
        <x:v>https://graph.microsoft.com/v1.0/me/drive/items/01DHXXN7YASXKBZPOLSBHIX2N2T3PB4G2R</x:v>
      </x:c>
      <x:c r="W33" s="17" t="str">
        <x:v>30175f1288f46626c65f2a739b44c42bc313b8d8b4104cfc1f2d0011303ffbaf</x:v>
      </x:c>
      <x:c r="X33" s="17" t="str">
        <x:v>SKU no publicado; se conserva una identidad técnica estable.</x:v>
      </x:c>
    </x:row>
    <x:row r="34" ht="34" customHeight="1">
      <x:c r="A34" s="17" t="str">
        <x:v>IDÉLIKA</x:v>
      </x:c>
      <x:c r="B34" s="17" t="str">
        <x:v>Stock</x:v>
      </x:c>
      <x:c r="C34" s="17" t="str">
        <x:v>2 CATALOGO STOCK 2026.pdf</x:v>
      </x:c>
      <x:c r="D34" s="21" t="n">
        <x:v>13</x:v>
      </x:c>
      <x:c r="E34" s="17" t="str">
        <x:v>idelika:stock:sin-sku:597cfa9eb57d5aeacd0c</x:v>
      </x:c>
      <x:c r="F34" s="17"/>
      <x:c r="G34" s="22" t="str">
        <x:v>por_verificar</x:v>
      </x:c>
      <x:c r="H34" s="17" t="str">
        <x:v>Thianna silla</x:v>
      </x:c>
      <x:c r="I34" s="17"/>
      <x:c r="J34" s="17"/>
      <x:c r="K34" s="17" t="str">
        <x:v>Madera de acacia</x:v>
      </x:c>
      <x:c r="L34" s="17" t="str">
        <x:v>56*52*85 alto</x:v>
      </x:c>
      <x:c r="M34" s="17" t="str">
        <x:v>Madera de acacia 56*52*85 alto</x:v>
      </x:c>
      <x:c r="N34" s="22" t="str">
        <x:v>pieza</x:v>
      </x:c>
      <x:c r="O34" s="23" t="n">
        <x:v>3499</x:v>
      </x:c>
      <x:c r="P34" s="23" t="n">
        <x:v>3990</x:v>
      </x:c>
      <x:c r="Q34" s="17" t="str">
        <x:v>$3,990 – $3,499</x:v>
      </x:c>
      <x:c r="R34" s="22" t="str">
        <x:v>confirmado</x:v>
      </x:c>
      <x:c r="S34" s="22" t="str">
        <x:v>Sí</x:v>
      </x:c>
      <x:c r="T34" s="24"/>
      <x:c r="U34" s="17" t="str">
        <x:v>https://graph.microsoft.com/v1.0/me/drive/items/01DHXXN7YASXKBZPOLSBHIX2N2T3PB4G2R#page=13</x:v>
      </x:c>
      <x:c r="V34" s="17" t="str">
        <x:v>https://graph.microsoft.com/v1.0/me/drive/items/01DHXXN7YASXKBZPOLSBHIX2N2T3PB4G2R</x:v>
      </x:c>
      <x:c r="W34" s="17" t="str">
        <x:v>597cfa9eb57d5aeacd0cb65d0bdd9f06d521dcb439e22dcefcf495e8bbe4ad4f</x:v>
      </x:c>
      <x:c r="X34" s="17" t="str">
        <x:v>SKU no publicado; se conserva una identidad técnica estable.</x:v>
      </x:c>
    </x:row>
    <x:row r="35" ht="34" customHeight="1">
      <x:c r="A35" s="17" t="str">
        <x:v>IDÉLIKA</x:v>
      </x:c>
      <x:c r="B35" s="17" t="str">
        <x:v>Stock</x:v>
      </x:c>
      <x:c r="C35" s="17" t="str">
        <x:v>2 CATALOGO STOCK 2026.pdf</x:v>
      </x:c>
      <x:c r="D35" s="21" t="n">
        <x:v>14</x:v>
      </x:c>
      <x:c r="E35" s="17" t="str">
        <x:v>idelika:stock:sin-sku:72c28eb1f8aa1808e5ee</x:v>
      </x:c>
      <x:c r="F35" s="17"/>
      <x:c r="G35" s="22" t="str">
        <x:v>por_verificar</x:v>
      </x:c>
      <x:c r="H35" s="17" t="str">
        <x:v>silla</x:v>
      </x:c>
      <x:c r="I35" s="17"/>
      <x:c r="J35" s="17"/>
      <x:c r="K35" s="17" t="str">
        <x:v>Polipropileno y cuerda</x:v>
      </x:c>
      <x:c r="L35" s="17" t="str">
        <x:v>54*55*78 alto</x:v>
      </x:c>
      <x:c r="M35" s="17" t="str">
        <x:v>Polipropileno y cuerda 54*55*78 alto</x:v>
      </x:c>
      <x:c r="N35" s="22" t="str">
        <x:v>pieza</x:v>
      </x:c>
      <x:c r="O35" s="23" t="n">
        <x:v>1999</x:v>
      </x:c>
      <x:c r="P35" s="23" t="n">
        <x:v>2990</x:v>
      </x:c>
      <x:c r="Q35" s="17" t="str">
        <x:v>$2,990 – $1,999</x:v>
      </x:c>
      <x:c r="R35" s="22" t="str">
        <x:v>confirmado</x:v>
      </x:c>
      <x:c r="S35" s="22" t="str">
        <x:v>Sí</x:v>
      </x:c>
      <x:c r="T35" s="24"/>
      <x:c r="U35" s="17" t="str">
        <x:v>https://graph.microsoft.com/v1.0/me/drive/items/01DHXXN7YASXKBZPOLSBHIX2N2T3PB4G2R#page=14</x:v>
      </x:c>
      <x:c r="V35" s="17" t="str">
        <x:v>https://graph.microsoft.com/v1.0/me/drive/items/01DHXXN7YASXKBZPOLSBHIX2N2T3PB4G2R</x:v>
      </x:c>
      <x:c r="W35" s="17" t="str">
        <x:v>72c28eb1f8aa1808e5eeaafa3d82a0c4b8698288730cb144ee037eab65862c59</x:v>
      </x:c>
      <x:c r="X35" s="17" t="str">
        <x:v>SKU no publicado; se conserva una identidad técnica estable.</x:v>
      </x:c>
    </x:row>
    <x:row r="36" ht="34" customHeight="1">
      <x:c r="A36" s="17" t="str">
        <x:v>IDÉLIKA</x:v>
      </x:c>
      <x:c r="B36" s="17" t="str">
        <x:v>Stock</x:v>
      </x:c>
      <x:c r="C36" s="17" t="str">
        <x:v>2 CATALOGO STOCK 2026.pdf</x:v>
      </x:c>
      <x:c r="D36" s="21" t="n">
        <x:v>15</x:v>
      </x:c>
      <x:c r="E36" s="17" t="str">
        <x:v>idelika:stock:sin-sku:9befd7ce6fd7ec7f5363</x:v>
      </x:c>
      <x:c r="F36" s="17"/>
      <x:c r="G36" s="22" t="str">
        <x:v>por_verificar</x:v>
      </x:c>
      <x:c r="H36" s="17" t="str">
        <x:v>Pelikan mesa</x:v>
      </x:c>
      <x:c r="I36" s="17" t="str">
        <x:v>Pelikan</x:v>
      </x:c>
      <x:c r="J36" s="17"/>
      <x:c r="K36" s="17" t="str">
        <x:v>Aluminio y cristal</x:v>
      </x:c>
      <x:c r="L36" s="17" t="str">
        <x:v>45*47*49</x:v>
      </x:c>
      <x:c r="M36" s="17" t="str">
        <x:v>Aluminio y cristal 45*47*49 Calidad contract (uso rudo)</x:v>
      </x:c>
      <x:c r="N36" s="22" t="str">
        <x:v>pieza</x:v>
      </x:c>
      <x:c r="O36" s="23" t="n">
        <x:v>3499</x:v>
      </x:c>
      <x:c r="P36" s="23" t="n">
        <x:v>3999</x:v>
      </x:c>
      <x:c r="Q36" s="17" t="str">
        <x:v>$3,499 – $3,999</x:v>
      </x:c>
      <x:c r="R36" s="22" t="str">
        <x:v>confirmado</x:v>
      </x:c>
      <x:c r="S36" s="22" t="str">
        <x:v>Sí</x:v>
      </x:c>
      <x:c r="T36" s="24"/>
      <x:c r="U36" s="17" t="str">
        <x:v>https://graph.microsoft.com/v1.0/me/drive/items/01DHXXN7YASXKBZPOLSBHIX2N2T3PB4G2R#page=15</x:v>
      </x:c>
      <x:c r="V36" s="17" t="str">
        <x:v>https://graph.microsoft.com/v1.0/me/drive/items/01DHXXN7YASXKBZPOLSBHIX2N2T3PB4G2R</x:v>
      </x:c>
      <x:c r="W36" s="17" t="str">
        <x:v>9befd7ce6fd7ec7f5363b5979186500026145d924c350b21c97dca9103c01eb6</x:v>
      </x:c>
      <x:c r="X36" s="17" t="str">
        <x:v>SKU no publicado; se conserva una identidad técnica estable.</x:v>
      </x:c>
    </x:row>
    <x:row r="37" ht="34" customHeight="1">
      <x:c r="A37" s="17" t="str">
        <x:v>IDÉLIKA</x:v>
      </x:c>
      <x:c r="B37" s="17" t="str">
        <x:v>Stock</x:v>
      </x:c>
      <x:c r="C37" s="17" t="str">
        <x:v>2 CATALOGO STOCK 2026.pdf</x:v>
      </x:c>
      <x:c r="D37" s="21" t="n">
        <x:v>17</x:v>
      </x:c>
      <x:c r="E37" s="17" t="str">
        <x:v>idelika:stock:sin-sku:5765fa0e3438a613d206</x:v>
      </x:c>
      <x:c r="F37" s="17"/>
      <x:c r="G37" s="22" t="str">
        <x:v>por_verificar</x:v>
      </x:c>
      <x:c r="H37" s="17" t="str">
        <x:v>Sadirar mesa plegable</x:v>
      </x:c>
      <x:c r="I37" s="17" t="str">
        <x:v>balcón</x:v>
      </x:c>
      <x:c r="J37" s="17"/>
      <x:c r="K37" s="17" t="str">
        <x:v>Madera maciza de</x:v>
      </x:c>
      <x:c r="L37" s="17" t="str">
        <x:v>76*70*70</x:v>
      </x:c>
      <x:c r="M37" s="17" t="str">
        <x:v>Madera maciza de teka 76*70*70</x:v>
      </x:c>
      <x:c r="N37" s="22" t="str">
        <x:v>pieza</x:v>
      </x:c>
      <x:c r="O37" s="23" t="n">
        <x:v>4999</x:v>
      </x:c>
      <x:c r="P37" s="23" t="n">
        <x:v>5990</x:v>
      </x:c>
      <x:c r="Q37" s="17" t="str">
        <x:v>$5,990 – $4,999</x:v>
      </x:c>
      <x:c r="R37" s="22" t="str">
        <x:v>confirmado</x:v>
      </x:c>
      <x:c r="S37" s="22" t="str">
        <x:v>Sí</x:v>
      </x:c>
      <x:c r="T37" s="24"/>
      <x:c r="U37" s="17" t="str">
        <x:v>https://graph.microsoft.com/v1.0/me/drive/items/01DHXXN7YASXKBZPOLSBHIX2N2T3PB4G2R#page=17</x:v>
      </x:c>
      <x:c r="V37" s="17" t="str">
        <x:v>https://graph.microsoft.com/v1.0/me/drive/items/01DHXXN7YASXKBZPOLSBHIX2N2T3PB4G2R</x:v>
      </x:c>
      <x:c r="W37" s="17" t="str">
        <x:v>5765fa0e3438a613d2065b03121e5509a505a6a96234cde27ee6783307ccad04</x:v>
      </x:c>
      <x:c r="X37" s="17" t="str">
        <x:v>SKU no publicado; se conserva una identidad técnica estable.</x:v>
      </x:c>
    </x:row>
    <x:row r="38" ht="34" customHeight="1">
      <x:c r="A38" s="17" t="str">
        <x:v>IDÉLIKA</x:v>
      </x:c>
      <x:c r="B38" s="17" t="str">
        <x:v>Stock</x:v>
      </x:c>
      <x:c r="C38" s="17" t="str">
        <x:v>2 CATALOGO STOCK 2026.pdf</x:v>
      </x:c>
      <x:c r="D38" s="21" t="n">
        <x:v>19</x:v>
      </x:c>
      <x:c r="E38" s="17" t="str">
        <x:v>idelika:stock:sin-sku:51cc8175a9b16e4c2d5b</x:v>
      </x:c>
      <x:c r="F38" s="17"/>
      <x:c r="G38" s="22" t="str">
        <x:v>por_verificar</x:v>
      </x:c>
      <x:c r="H38" s="17" t="str">
        <x:v>Caterin camastro beige o gris</x:v>
      </x:c>
      <x:c r="I38" s="17"/>
      <x:c r="J38" s="17"/>
      <x:c r="K38" s="17" t="str">
        <x:v>Madera maciza de acacia</x:v>
      </x:c>
      <x:c r="L38" s="17" t="str">
        <x:v>200*70*37</x:v>
      </x:c>
      <x:c r="M38" s="17" t="str">
        <x:v>Madera maciza de acacia 200*70*37</x:v>
      </x:c>
      <x:c r="N38" s="22" t="str">
        <x:v>pieza</x:v>
      </x:c>
      <x:c r="O38" s="23" t="n">
        <x:v>11990</x:v>
      </x:c>
      <x:c r="P38" s="23" t="n">
        <x:v>13499</x:v>
      </x:c>
      <x:c r="Q38" s="17" t="str">
        <x:v>$13,499 - $11,990</x:v>
      </x:c>
      <x:c r="R38" s="22" t="str">
        <x:v>confirmado</x:v>
      </x:c>
      <x:c r="S38" s="22" t="str">
        <x:v>Sí</x:v>
      </x:c>
      <x:c r="T38" s="24"/>
      <x:c r="U38" s="17" t="str">
        <x:v>https://graph.microsoft.com/v1.0/me/drive/items/01DHXXN7YASXKBZPOLSBHIX2N2T3PB4G2R#page=19</x:v>
      </x:c>
      <x:c r="V38" s="17" t="str">
        <x:v>https://graph.microsoft.com/v1.0/me/drive/items/01DHXXN7YASXKBZPOLSBHIX2N2T3PB4G2R</x:v>
      </x:c>
      <x:c r="W38" s="17" t="str">
        <x:v>51cc8175a9b16e4c2d5b8dd33c50fe71a6308a70e0f9b3098e3cdad886ffc859</x:v>
      </x:c>
      <x:c r="X38" s="17" t="str">
        <x:v>SKU no publicado; se conserva una identidad técnica estable.</x:v>
      </x:c>
    </x:row>
    <x:row r="39" ht="34" customHeight="1">
      <x:c r="A39" s="17" t="str">
        <x:v>IDÉLIKA</x:v>
      </x:c>
      <x:c r="B39" s="17" t="str">
        <x:v>Stock</x:v>
      </x:c>
      <x:c r="C39" s="17" t="str">
        <x:v>2 CATALOGO STOCK 2026.pdf</x:v>
      </x:c>
      <x:c r="D39" s="21" t="n">
        <x:v>19</x:v>
      </x:c>
      <x:c r="E39" s="17" t="str">
        <x:v>idelika:stock:sin-sku:eb745dfb344ad322a774</x:v>
      </x:c>
      <x:c r="F39" s="17"/>
      <x:c r="G39" s="22" t="str">
        <x:v>por_verificar</x:v>
      </x:c>
      <x:c r="H39" s="17" t="str">
        <x:v>Beila Camastro</x:v>
      </x:c>
      <x:c r="I39" s="17"/>
      <x:c r="J39" s="17"/>
      <x:c r="K39" s="17" t="str">
        <x:v>Madera de teca</x:v>
      </x:c>
      <x:c r="L39" s="17" t="str">
        <x:v>180*65*29</x:v>
      </x:c>
      <x:c r="M39" s="17" t="str">
        <x:v>Madera de teca 180*65*29</x:v>
      </x:c>
      <x:c r="N39" s="22" t="str">
        <x:v>pieza</x:v>
      </x:c>
      <x:c r="O39" s="23" t="n">
        <x:v>10990</x:v>
      </x:c>
      <x:c r="P39" s="23" t="n">
        <x:v>13990</x:v>
      </x:c>
      <x:c r="Q39" s="17" t="str">
        <x:v>$13,990 – $10,990</x:v>
      </x:c>
      <x:c r="R39" s="22" t="str">
        <x:v>confirmado</x:v>
      </x:c>
      <x:c r="S39" s="22" t="str">
        <x:v>Sí</x:v>
      </x:c>
      <x:c r="T39" s="24"/>
      <x:c r="U39" s="17" t="str">
        <x:v>https://graph.microsoft.com/v1.0/me/drive/items/01DHXXN7YASXKBZPOLSBHIX2N2T3PB4G2R#page=19</x:v>
      </x:c>
      <x:c r="V39" s="17" t="str">
        <x:v>https://graph.microsoft.com/v1.0/me/drive/items/01DHXXN7YASXKBZPOLSBHIX2N2T3PB4G2R</x:v>
      </x:c>
      <x:c r="W39" s="17" t="str">
        <x:v>eb745dfb344ad322a774e0cfaf63a3a88e7ad32d3fd409b66a8a36c2f21def0c</x:v>
      </x:c>
      <x:c r="X39" s="17" t="str">
        <x:v>SKU no publicado; se conserva una identidad técnica estable.</x:v>
      </x:c>
    </x:row>
    <x:row r="40" ht="34" customHeight="1">
      <x:c r="A40" s="17" t="str">
        <x:v>IDÉLIKA</x:v>
      </x:c>
      <x:c r="B40" s="17" t="str">
        <x:v>Stock</x:v>
      </x:c>
      <x:c r="C40" s="17" t="str">
        <x:v>2 CATALOGO STOCK 2026.pdf</x:v>
      </x:c>
      <x:c r="D40" s="21" t="n">
        <x:v>19</x:v>
      </x:c>
      <x:c r="E40" s="17" t="str">
        <x:v>idelika:stock:sin-sku:bf71e47cf1df15dec65b</x:v>
      </x:c>
      <x:c r="F40" s="17"/>
      <x:c r="G40" s="22" t="str">
        <x:v>por_verificar</x:v>
      </x:c>
      <x:c r="H40" s="17" t="str">
        <x:v>Amel mesa</x:v>
      </x:c>
      <x:c r="I40" s="17"/>
      <x:c r="J40" s="17"/>
      <x:c r="K40" s="17" t="str">
        <x:v>Madera de acacia</x:v>
      </x:c>
      <x:c r="L40" s="17" t="str">
        <x:v>46*31*31</x:v>
      </x:c>
      <x:c r="M40" s="17" t="str">
        <x:v>Madera de acacia 46*31*31</x:v>
      </x:c>
      <x:c r="N40" s="22" t="str">
        <x:v>pieza</x:v>
      </x:c>
      <x:c r="O40" s="23" t="n">
        <x:v>2499</x:v>
      </x:c>
      <x:c r="P40" s="23" t="n">
        <x:v>2699</x:v>
      </x:c>
      <x:c r="Q40" s="17" t="str">
        <x:v>$2,699 – $2,499</x:v>
      </x:c>
      <x:c r="R40" s="22" t="str">
        <x:v>confirmado</x:v>
      </x:c>
      <x:c r="S40" s="22" t="str">
        <x:v>Sí</x:v>
      </x:c>
      <x:c r="T40" s="24"/>
      <x:c r="U40" s="17" t="str">
        <x:v>https://graph.microsoft.com/v1.0/me/drive/items/01DHXXN7YASXKBZPOLSBHIX2N2T3PB4G2R#page=19</x:v>
      </x:c>
      <x:c r="V40" s="17" t="str">
        <x:v>https://graph.microsoft.com/v1.0/me/drive/items/01DHXXN7YASXKBZPOLSBHIX2N2T3PB4G2R</x:v>
      </x:c>
      <x:c r="W40" s="17" t="str">
        <x:v>bf71e47cf1df15dec65b4714a3e3bef546c39f6ea379e4b8c586e017188ba6df</x:v>
      </x:c>
      <x:c r="X40" s="17" t="str">
        <x:v>SKU no publicado; se conserva una identidad técnica estable.</x:v>
      </x:c>
    </x:row>
    <x:row r="41" ht="34" customHeight="1">
      <x:c r="A41" s="17" t="str">
        <x:v>IDÉLIKA</x:v>
      </x:c>
      <x:c r="B41" s="17" t="str">
        <x:v>Stock</x:v>
      </x:c>
      <x:c r="C41" s="17" t="str">
        <x:v>2 CATALOGO STOCK 2026.pdf</x:v>
      </x:c>
      <x:c r="D41" s="21" t="n">
        <x:v>20</x:v>
      </x:c>
      <x:c r="E41" s="17" t="str">
        <x:v>idelika:stock:sin-sku:2786bceb847b4b9152bf</x:v>
      </x:c>
      <x:c r="F41" s="17"/>
      <x:c r="G41" s="22" t="str">
        <x:v>por_verificar</x:v>
      </x:c>
      <x:c r="H41" s="17" t="str">
        <x:v>Set Alabe Sofá + mesa + 2 sillones</x:v>
      </x:c>
      <x:c r="I41" s="17" t="str">
        <x:v>y sus</x:v>
      </x:c>
      <x:c r="J41" s="17"/>
      <x:c r="K41" s="17" t="str">
        <x:v>Madera de acacia, Mimbre sintético Tela polyester son la madera de</x:v>
      </x:c>
      <x:c r="L41" s="17" t="str">
        <x:v>91*55*36 mesa</x:v>
      </x:c>
      <x:c r="M41" s="17" t="str">
        <x:v>Madera de acacia, Mimbre sintético Tela polyester 127*76*62 sofá 66*76*62 sillón 91*55*36 mesa Las aguas del océano Índico se fusionan con Los acentos y la textura de esta Materiales, como lo son la madera de Acacia, La madera de Teca y nos regalan detalles únicos con tonalidades y formas irrepetibles. Toda nuestra basada en la sostenibilidad. Su principal valor es la preservación de nuestro entorno natural, solicita si tu proyecto Lo requiere las certificaciones. Y si tu necesidad es en tu hogar, consiéntete… Amarse a sí mismo, es el comienzo de una Aventura que dura toda la vida….</x:v>
      </x:c>
      <x:c r="N41" s="22" t="str">
        <x:v>pieza</x:v>
      </x:c>
      <x:c r="O41" s="23" t="n">
        <x:v>39990</x:v>
      </x:c>
      <x:c r="P41" s="23" t="n">
        <x:v>49499</x:v>
      </x:c>
      <x:c r="Q41" s="17" t="str">
        <x:v>$49,499 – $39,990</x:v>
      </x:c>
      <x:c r="R41" s="22" t="str">
        <x:v>confirmado</x:v>
      </x:c>
      <x:c r="S41" s="22" t="str">
        <x:v>Sí</x:v>
      </x:c>
      <x:c r="T41" s="24"/>
      <x:c r="U41" s="17" t="str">
        <x:v>https://graph.microsoft.com/v1.0/me/drive/items/01DHXXN7YASXKBZPOLSBHIX2N2T3PB4G2R#page=20</x:v>
      </x:c>
      <x:c r="V41" s="17" t="str">
        <x:v>https://graph.microsoft.com/v1.0/me/drive/items/01DHXXN7YASXKBZPOLSBHIX2N2T3PB4G2R</x:v>
      </x:c>
      <x:c r="W41" s="17" t="str">
        <x:v>2786bceb847b4b9152bfc0c2d55eaef2b4a553210c5ffc9fae2fa08b8fa59b7e</x:v>
      </x:c>
      <x:c r="X41" s="17" t="str">
        <x:v>SKU no publicado; se conserva una identidad técnica estable.</x:v>
      </x:c>
    </x:row>
    <x:row r="42" ht="34" customHeight="1">
      <x:c r="A42" s="17" t="str">
        <x:v>IDÉLIKA</x:v>
      </x:c>
      <x:c r="B42" s="17" t="str">
        <x:v>Stock</x:v>
      </x:c>
      <x:c r="C42" s="17" t="str">
        <x:v>2 CATALOGO STOCK 2026.pdf</x:v>
      </x:c>
      <x:c r="D42" s="21" t="n">
        <x:v>20</x:v>
      </x:c>
      <x:c r="E42" s="17" t="str">
        <x:v>idelika:stock:sin-sku:78dccb9455fdc36cd6d8</x:v>
      </x:c>
      <x:c r="F42" s="17"/>
      <x:c r="G42" s="22" t="str">
        <x:v>por_verificar</x:v>
      </x:c>
      <x:c r="H42" s="17" t="str">
        <x:v>Felisa mesa auxiliar</x:v>
      </x:c>
      <x:c r="I42" s="17" t="str">
        <x:v>y sus</x:v>
      </x:c>
      <x:c r="J42" s="17"/>
      <x:c r="K42" s="17" t="str">
        <x:v>Madera de teca</x:v>
      </x:c>
      <x:c r="L42" s="17" t="str">
        <x:v>55*73*82</x:v>
      </x:c>
      <x:c r="M42" s="17" t="str">
        <x:v>Madera de teca 55*73*82</x:v>
      </x:c>
      <x:c r="N42" s="22" t="str">
        <x:v>pieza</x:v>
      </x:c>
      <x:c r="O42" s="23" t="n">
        <x:v>4999</x:v>
      </x:c>
      <x:c r="P42" s="23" t="n">
        <x:v>5499</x:v>
      </x:c>
      <x:c r="Q42" s="17" t="str">
        <x:v>$5,499 - $4,999</x:v>
      </x:c>
      <x:c r="R42" s="22" t="str">
        <x:v>confirmado</x:v>
      </x:c>
      <x:c r="S42" s="22" t="str">
        <x:v>Sí</x:v>
      </x:c>
      <x:c r="T42" s="24"/>
      <x:c r="U42" s="17" t="str">
        <x:v>https://graph.microsoft.com/v1.0/me/drive/items/01DHXXN7YASXKBZPOLSBHIX2N2T3PB4G2R#page=20</x:v>
      </x:c>
      <x:c r="V42" s="17" t="str">
        <x:v>https://graph.microsoft.com/v1.0/me/drive/items/01DHXXN7YASXKBZPOLSBHIX2N2T3PB4G2R</x:v>
      </x:c>
      <x:c r="W42" s="17" t="str">
        <x:v>78dccb9455fdc36cd6d8cf8286c87e37466ee72d45a9717d64b9a991f20bf4f0</x:v>
      </x:c>
      <x:c r="X42" s="17" t="str">
        <x:v>SKU no publicado; se conserva una identidad técnica estable.</x:v>
      </x:c>
    </x:row>
    <x:row r="43" ht="34" customHeight="1">
      <x:c r="A43" s="17" t="str">
        <x:v>IDÉLIKA</x:v>
      </x:c>
      <x:c r="B43" s="17" t="str">
        <x:v>Stock</x:v>
      </x:c>
      <x:c r="C43" s="17" t="str">
        <x:v>2 CATALOGO STOCK 2026.pdf</x:v>
      </x:c>
      <x:c r="D43" s="21" t="n">
        <x:v>21</x:v>
      </x:c>
      <x:c r="E43" s="17" t="str">
        <x:v>idelika:stock:sin-sku:fe8600b44129b083840c</x:v>
      </x:c>
      <x:c r="F43" s="17"/>
      <x:c r="G43" s="22" t="str">
        <x:v>por_verificar</x:v>
      </x:c>
      <x:c r="H43" s="17" t="str">
        <x:v>Sono mesa alta</x:v>
      </x:c>
      <x:c r="I43" s="17"/>
      <x:c r="J43" s="17"/>
      <x:c r="K43" s="17" t="str">
        <x:v>Madera de Acacia Acero negro galvanizado</x:v>
      </x:c>
      <x:c r="L43" s="17" t="str">
        <x:v>140*60*105</x:v>
      </x:c>
      <x:c r="M43" s="17" t="str">
        <x:v>Madera de Acacia Acero negro galvanizado Uso exterior bajo techo 140*60*105</x:v>
      </x:c>
      <x:c r="N43" s="22" t="str">
        <x:v>pieza</x:v>
      </x:c>
      <x:c r="O43" s="23" t="n">
        <x:v>19990</x:v>
      </x:c>
      <x:c r="P43" s="23" t="n">
        <x:v>21990</x:v>
      </x:c>
      <x:c r="Q43" s="17" t="str">
        <x:v>$21,990 – $19,990</x:v>
      </x:c>
      <x:c r="R43" s="22" t="str">
        <x:v>confirmado</x:v>
      </x:c>
      <x:c r="S43" s="22" t="str">
        <x:v>Sí</x:v>
      </x:c>
      <x:c r="T43" s="24"/>
      <x:c r="U43" s="17" t="str">
        <x:v>https://graph.microsoft.com/v1.0/me/drive/items/01DHXXN7YASXKBZPOLSBHIX2N2T3PB4G2R#page=21</x:v>
      </x:c>
      <x:c r="V43" s="17" t="str">
        <x:v>https://graph.microsoft.com/v1.0/me/drive/items/01DHXXN7YASXKBZPOLSBHIX2N2T3PB4G2R</x:v>
      </x:c>
      <x:c r="W43" s="17" t="str">
        <x:v>fe8600b44129b083840c5946adbbfc289fc1cd915c64355f0e6a02289a231f8c</x:v>
      </x:c>
      <x:c r="X43" s="17" t="str">
        <x:v>SKU no publicado; se conserva una identidad técnica estable.</x:v>
      </x:c>
    </x:row>
    <x:row r="44" ht="34" customHeight="1">
      <x:c r="A44" s="17" t="str">
        <x:v>IDÉLIKA</x:v>
      </x:c>
      <x:c r="B44" s="17" t="str">
        <x:v>Stock</x:v>
      </x:c>
      <x:c r="C44" s="17" t="str">
        <x:v>2 CATALOGO STOCK 2026.pdf</x:v>
      </x:c>
      <x:c r="D44" s="21" t="n">
        <x:v>22</x:v>
      </x:c>
      <x:c r="E44" s="17" t="str">
        <x:v>idelika:stock:sin-sku:eae7a8153a1279007015</x:v>
      </x:c>
      <x:c r="F44" s="17"/>
      <x:c r="G44" s="22" t="str">
        <x:v>por_verificar</x:v>
      </x:c>
      <x:c r="H44" s="17" t="str">
        <x:v>Cosm alfombra</x:v>
      </x:c>
      <x:c r="I44" s="17"/>
      <x:c r="J44" s="17"/>
      <x:c r="K44" s="17" t="str">
        <x:v>Yute</x:v>
      </x:c>
      <x:c r="L44" s="17" t="str">
        <x:v>150 diámetro</x:v>
      </x:c>
      <x:c r="M44" s="17" t="str">
        <x:v>Yute 150 diámetro</x:v>
      </x:c>
      <x:c r="N44" s="22" t="str">
        <x:v>pieza</x:v>
      </x:c>
      <x:c r="O44" s="23" t="n">
        <x:v>3999</x:v>
      </x:c>
      <x:c r="P44" s="23" t="n">
        <x:v>4499</x:v>
      </x:c>
      <x:c r="Q44" s="17" t="str">
        <x:v>$4,499 - $3,999</x:v>
      </x:c>
      <x:c r="R44" s="22" t="str">
        <x:v>confirmado</x:v>
      </x:c>
      <x:c r="S44" s="22" t="str">
        <x:v>Sí</x:v>
      </x:c>
      <x:c r="T44" s="24"/>
      <x:c r="U44" s="17" t="str">
        <x:v>https://graph.microsoft.com/v1.0/me/drive/items/01DHXXN7YASXKBZPOLSBHIX2N2T3PB4G2R#page=22</x:v>
      </x:c>
      <x:c r="V44" s="17" t="str">
        <x:v>https://graph.microsoft.com/v1.0/me/drive/items/01DHXXN7YASXKBZPOLSBHIX2N2T3PB4G2R</x:v>
      </x:c>
      <x:c r="W44" s="17" t="str">
        <x:v>eae7a8153a12790070150fc95de696deaaf1940013b45f709f3c9ede7021660d</x:v>
      </x:c>
      <x:c r="X44" s="17" t="str">
        <x:v>SKU no publicado; se conserva una identidad técnica estable.</x:v>
      </x:c>
    </x:row>
    <x:row r="45" ht="34" customHeight="1">
      <x:c r="A45" s="17" t="str">
        <x:v>IDÉLIKA</x:v>
      </x:c>
      <x:c r="B45" s="17" t="str">
        <x:v>Stock</x:v>
      </x:c>
      <x:c r="C45" s="17" t="str">
        <x:v>2 CATALOGO STOCK 2026.pdf</x:v>
      </x:c>
      <x:c r="D45" s="21" t="n">
        <x:v>22</x:v>
      </x:c>
      <x:c r="E45" s="17" t="str">
        <x:v>idelika:stock:sin-sku:81c8cf37836ccb8a9240</x:v>
      </x:c>
      <x:c r="F45" s="17"/>
      <x:c r="G45" s="22" t="str">
        <x:v>por_verificar</x:v>
      </x:c>
      <x:c r="H45" s="17" t="str">
        <x:v>Siria alfombra</x:v>
      </x:c>
      <x:c r="I45" s="17"/>
      <x:c r="J45" s="17"/>
      <x:c r="K45" s="17" t="str">
        <x:v>Yute</x:v>
      </x:c>
      <x:c r="L45" s="17" t="str">
        <x:v>160*230</x:v>
      </x:c>
      <x:c r="M45" s="17" t="str">
        <x:v>Yute 160*230</x:v>
      </x:c>
      <x:c r="N45" s="22" t="str">
        <x:v>pieza</x:v>
      </x:c>
      <x:c r="O45" s="23" t="n">
        <x:v>5999</x:v>
      </x:c>
      <x:c r="P45" s="23" t="n">
        <x:v>6499</x:v>
      </x:c>
      <x:c r="Q45" s="17" t="str">
        <x:v>$6,499 - $5,999</x:v>
      </x:c>
      <x:c r="R45" s="22" t="str">
        <x:v>confirmado</x:v>
      </x:c>
      <x:c r="S45" s="22" t="str">
        <x:v>Sí</x:v>
      </x:c>
      <x:c r="T45" s="24"/>
      <x:c r="U45" s="17" t="str">
        <x:v>https://graph.microsoft.com/v1.0/me/drive/items/01DHXXN7YASXKBZPOLSBHIX2N2T3PB4G2R#page=22</x:v>
      </x:c>
      <x:c r="V45" s="17" t="str">
        <x:v>https://graph.microsoft.com/v1.0/me/drive/items/01DHXXN7YASXKBZPOLSBHIX2N2T3PB4G2R</x:v>
      </x:c>
      <x:c r="W45" s="17" t="str">
        <x:v>81c8cf37836ccb8a92405231592aeac0e314ab40c3009c0416c2af9bcf1d0ea9</x:v>
      </x:c>
      <x:c r="X45" s="17" t="str">
        <x:v>SKU no publicado; se conserva una identidad técnica estable.</x:v>
      </x:c>
    </x:row>
    <x:row r="46" ht="34" customHeight="1">
      <x:c r="A46" s="17" t="str">
        <x:v>IDÉLIKA</x:v>
      </x:c>
      <x:c r="B46" s="17" t="str">
        <x:v>Stock</x:v>
      </x:c>
      <x:c r="C46" s="17" t="str">
        <x:v>2 CATALOGO STOCK 2026.pdf</x:v>
      </x:c>
      <x:c r="D46" s="21" t="n">
        <x:v>23</x:v>
      </x:c>
      <x:c r="E46" s="17" t="str">
        <x:v>idelika:stock:sin-sku:9b815906d806738e82a5</x:v>
      </x:c>
      <x:c r="F46" s="17"/>
      <x:c r="G46" s="22" t="str">
        <x:v>por_verificar</x:v>
      </x:c>
      <x:c r="H46" s="17" t="str">
        <x:v>Set Pola Sofá + 2 sillones</x:v>
      </x:c>
      <x:c r="I46" s="17" t="str">
        <x:v>Premium</x:v>
      </x:c>
      <x:c r="J46" s="17"/>
      <x:c r="K46" s="17" t="str">
        <x:v>Madera de acacia, Mimbre sintético Tela polyester Madera de acacia,</x:v>
      </x:c>
      <x:c r="L46" s="17" t="str">
        <x:v>77*78*75 sillón</x:v>
      </x:c>
      <x:c r="M46" s="17" t="str">
        <x:v>Madera de acacia, Mimbre sintético Tela polyester 176*78*75 sofá 77*78*75 sillón (no incluye mesa) Pola mesas auxiliares Madera de acacia, terrazo 84*38 alto centro 54*48 alto lateral</x:v>
      </x:c>
      <x:c r="N46" s="22" t="str">
        <x:v>pieza</x:v>
      </x:c>
      <x:c r="O46" s="23" t="n">
        <x:v>39990</x:v>
      </x:c>
      <x:c r="P46" s="23" t="n">
        <x:v>49499</x:v>
      </x:c>
      <x:c r="Q46" s="17" t="str">
        <x:v>$49,499 – $39,990</x:v>
      </x:c>
      <x:c r="R46" s="22" t="str">
        <x:v>confirmado</x:v>
      </x:c>
      <x:c r="S46" s="22" t="str">
        <x:v>Sí</x:v>
      </x:c>
      <x:c r="T46" s="24"/>
      <x:c r="U46" s="17" t="str">
        <x:v>https://graph.microsoft.com/v1.0/me/drive/items/01DHXXN7YASXKBZPOLSBHIX2N2T3PB4G2R#page=23</x:v>
      </x:c>
      <x:c r="V46" s="17" t="str">
        <x:v>https://graph.microsoft.com/v1.0/me/drive/items/01DHXXN7YASXKBZPOLSBHIX2N2T3PB4G2R</x:v>
      </x:c>
      <x:c r="W46" s="17" t="str">
        <x:v>9b815906d806738e82a550b711f2fbe0458d0195c1e8af2c77665c38cedd74a0</x:v>
      </x:c>
      <x:c r="X46" s="17" t="str">
        <x:v>SKU no publicado; se conserva una identidad técnica estable.</x:v>
      </x:c>
    </x:row>
    <x:row r="47" ht="34" customHeight="1">
      <x:c r="A47" s="17" t="str">
        <x:v>IDÉLIKA</x:v>
      </x:c>
      <x:c r="B47" s="17" t="str">
        <x:v>Stock</x:v>
      </x:c>
      <x:c r="C47" s="17" t="str">
        <x:v>2 CATALOGO STOCK 2026.pdf</x:v>
      </x:c>
      <x:c r="D47" s="21" t="n">
        <x:v>24</x:v>
      </x:c>
      <x:c r="E47" s="17" t="str">
        <x:v>idelika:stock:sin-sku:109cd454e89e15320251</x:v>
      </x:c>
      <x:c r="F47" s="17"/>
      <x:c r="G47" s="22" t="str">
        <x:v>por_verificar</x:v>
      </x:c>
      <x:c r="H47" s="17" t="str">
        <x:v>Set Vellana</x:v>
      </x:c>
      <x:c r="I47" s="17" t="str">
        <x:v>Premium</x:v>
      </x:c>
      <x:c r="J47" s="17"/>
      <x:c r="K47" s="17" t="str">
        <x:v>Madera Maciza de acacia y cuerda</x:v>
      </x:c>
      <x:c r="L47" s="17" t="str">
        <x:v>130*70*33 mesa</x:v>
      </x:c>
      <x:c r="M47" s="17" t="str">
        <x:v>Madera Maciza de acacia y cuerda 78*220*73 sofá 78*92*73 sillón 130*70*33 mesa (incluye mesa)</x:v>
      </x:c>
      <x:c r="N47" s="22" t="str">
        <x:v>pieza</x:v>
      </x:c>
      <x:c r="O47" s="23" t="n">
        <x:v>69990</x:v>
      </x:c>
      <x:c r="P47" s="23" t="n">
        <x:v>79990</x:v>
      </x:c>
      <x:c r="Q47" s="17" t="str">
        <x:v>$79,990 - $69,990</x:v>
      </x:c>
      <x:c r="R47" s="22" t="str">
        <x:v>confirmado</x:v>
      </x:c>
      <x:c r="S47" s="22" t="str">
        <x:v>Sí</x:v>
      </x:c>
      <x:c r="T47" s="24"/>
      <x:c r="U47" s="17" t="str">
        <x:v>https://graph.microsoft.com/v1.0/me/drive/items/01DHXXN7YASXKBZPOLSBHIX2N2T3PB4G2R#page=24</x:v>
      </x:c>
      <x:c r="V47" s="17" t="str">
        <x:v>https://graph.microsoft.com/v1.0/me/drive/items/01DHXXN7YASXKBZPOLSBHIX2N2T3PB4G2R</x:v>
      </x:c>
      <x:c r="W47" s="17" t="str">
        <x:v>109cd454e89e15320251f95adb8f8aaae5aeddde028e274c56c4d3a2fce971cd</x:v>
      </x:c>
      <x:c r="X47" s="17" t="str">
        <x:v>SKU no publicado; se conserva una identidad técnica estable.</x:v>
      </x:c>
    </x:row>
    <x:row r="48" ht="34" customHeight="1">
      <x:c r="A48" s="17" t="str">
        <x:v>IDÉLIKA</x:v>
      </x:c>
      <x:c r="B48" s="17" t="str">
        <x:v>Stock</x:v>
      </x:c>
      <x:c r="C48" s="17" t="str">
        <x:v>2 CATALOGO STOCK 2026.pdf</x:v>
      </x:c>
      <x:c r="D48" s="21" t="n">
        <x:v>24</x:v>
      </x:c>
      <x:c r="E48" s="17" t="str">
        <x:v>idelika:stock:sin-sku:eec23cbcdedb477e3e7e</x:v>
      </x:c>
      <x:c r="F48" s="17"/>
      <x:c r="G48" s="22" t="str">
        <x:v>por_verificar</x:v>
      </x:c>
      <x:c r="H48" s="17" t="str">
        <x:v>Pola silla</x:v>
      </x:c>
      <x:c r="I48" s="17" t="str">
        <x:v>Premium</x:v>
      </x:c>
      <x:c r="J48" s="17"/>
      <x:c r="K48" s="17" t="str">
        <x:v>Madera de acacia, Mimbre sintético</x:v>
      </x:c>
      <x:c r="L48" s="17" t="str">
        <x:v>58*63*76 alto</x:v>
      </x:c>
      <x:c r="M48" s="17" t="str">
        <x:v>Madera de acacia, Mimbre sintético 58*63*76 alto (no incluye mesa) Xoriguer</x:v>
      </x:c>
      <x:c r="N48" s="22" t="str">
        <x:v>pieza</x:v>
      </x:c>
      <x:c r="O48" s="23" t="n">
        <x:v>5990</x:v>
      </x:c>
      <x:c r="P48" s="23" t="n">
        <x:v>6990</x:v>
      </x:c>
      <x:c r="Q48" s="17" t="str">
        <x:v>$6,990 – $5,990</x:v>
      </x:c>
      <x:c r="R48" s="22" t="str">
        <x:v>confirmado</x:v>
      </x:c>
      <x:c r="S48" s="22" t="str">
        <x:v>Sí</x:v>
      </x:c>
      <x:c r="T48" s="24"/>
      <x:c r="U48" s="17" t="str">
        <x:v>https://graph.microsoft.com/v1.0/me/drive/items/01DHXXN7YASXKBZPOLSBHIX2N2T3PB4G2R#page=24</x:v>
      </x:c>
      <x:c r="V48" s="17" t="str">
        <x:v>https://graph.microsoft.com/v1.0/me/drive/items/01DHXXN7YASXKBZPOLSBHIX2N2T3PB4G2R</x:v>
      </x:c>
      <x:c r="W48" s="17" t="str">
        <x:v>eec23cbcdedb477e3e7e617d395e4b4d69420977c5a62f040c9406d16bd4dcfb</x:v>
      </x:c>
      <x:c r="X48" s="17" t="str">
        <x:v>SKU no publicado; se conserva una identidad técnica estable.</x:v>
      </x:c>
    </x:row>
    <x:row r="49" ht="34" customHeight="1">
      <x:c r="A49" s="17" t="str">
        <x:v>IDÉLIKA</x:v>
      </x:c>
      <x:c r="B49" s="17" t="str">
        <x:v>Stock</x:v>
      </x:c>
      <x:c r="C49" s="17" t="str">
        <x:v>2 CATALOGO STOCK 2026.pdf</x:v>
      </x:c>
      <x:c r="D49" s="21" t="n">
        <x:v>24</x:v>
      </x:c>
      <x:c r="E49" s="17" t="str">
        <x:v>idelika:stock:sin-sku:c844b8f5f1166a120f82</x:v>
      </x:c>
      <x:c r="F49" s="17"/>
      <x:c r="G49" s="22" t="str">
        <x:v>por_verificar</x:v>
      </x:c>
      <x:c r="H49" s="17" t="str">
        <x:v>mesa</x:v>
      </x:c>
      <x:c r="I49" s="17" t="str">
        <x:v>Premium</x:v>
      </x:c>
      <x:c r="J49" s="17"/>
      <x:c r="K49" s="17" t="str">
        <x:v>Madera maciza De eucalipto</x:v>
      </x:c>
      <x:c r="L49" s="17" t="str">
        <x:v>280*110*75 alto</x:v>
      </x:c>
      <x:c r="M49" s="17" t="str">
        <x:v>Madera maciza De eucalipto 280*110*75 alto Premium</x:v>
      </x:c>
      <x:c r="N49" s="22" t="str">
        <x:v>pieza</x:v>
      </x:c>
      <x:c r="O49" s="23" t="n">
        <x:v>39990</x:v>
      </x:c>
      <x:c r="P49" s="23" t="n">
        <x:v>49990</x:v>
      </x:c>
      <x:c r="Q49" s="17" t="str">
        <x:v>$49,990 – $39,990</x:v>
      </x:c>
      <x:c r="R49" s="22" t="str">
        <x:v>confirmado</x:v>
      </x:c>
      <x:c r="S49" s="22" t="str">
        <x:v>Sí</x:v>
      </x:c>
      <x:c r="T49" s="24"/>
      <x:c r="U49" s="17" t="str">
        <x:v>https://graph.microsoft.com/v1.0/me/drive/items/01DHXXN7YASXKBZPOLSBHIX2N2T3PB4G2R#page=24</x:v>
      </x:c>
      <x:c r="V49" s="17" t="str">
        <x:v>https://graph.microsoft.com/v1.0/me/drive/items/01DHXXN7YASXKBZPOLSBHIX2N2T3PB4G2R</x:v>
      </x:c>
      <x:c r="W49" s="17" t="str">
        <x:v>c844b8f5f1166a120f820e4aea5176e5f14083ef54396ca9cdd0cabb60cf3a46</x:v>
      </x:c>
      <x:c r="X49" s="17" t="str">
        <x:v>SKU no publicado; se conserva una identidad técnica estable.</x:v>
      </x:c>
    </x:row>
    <x:row r="50" ht="34" customHeight="1">
      <x:c r="A50" s="17" t="str">
        <x:v>IDÉLIKA</x:v>
      </x:c>
      <x:c r="B50" s="17" t="str">
        <x:v>Stock</x:v>
      </x:c>
      <x:c r="C50" s="17" t="str">
        <x:v>2 CATALOGO STOCK 2026.pdf</x:v>
      </x:c>
      <x:c r="D50" s="21" t="n">
        <x:v>27</x:v>
      </x:c>
      <x:c r="E50" s="17" t="str">
        <x:v>idelika:stock:sin-sku:97bc632bc98b066aa1af</x:v>
      </x:c>
      <x:c r="F50" s="17"/>
      <x:c r="G50" s="22" t="str">
        <x:v>por_verificar</x:v>
      </x:c>
      <x:c r="H50" s="17" t="str">
        <x:v>Colección SauraSonsuara camastro</x:v>
      </x:c>
      <x:c r="I50" s="17" t="str">
        <x:v>SauraSonsuara camastro</x:v>
      </x:c>
      <x:c r="J50" s="17"/>
      <x:c r="K50" s="17" t="str">
        <x:v>Madera Maciza de Eucalipto</x:v>
      </x:c>
      <x:c r="L50" s="17" t="str">
        <x:v>88*198*74</x:v>
      </x:c>
      <x:c r="M50" s="17" t="str">
        <x:v>Madera Maciza de Eucalipto 88*198*74</x:v>
      </x:c>
      <x:c r="N50" s="22" t="str">
        <x:v>pieza</x:v>
      </x:c>
      <x:c r="O50" s="23" t="n">
        <x:v>16830</x:v>
      </x:c>
      <x:c r="P50" s="23" t="n">
        <x:v>17990</x:v>
      </x:c>
      <x:c r="Q50" s="17" t="str">
        <x:v>$17,990 – $16,830</x:v>
      </x:c>
      <x:c r="R50" s="22" t="str">
        <x:v>confirmado</x:v>
      </x:c>
      <x:c r="S50" s="22" t="str">
        <x:v>Sí</x:v>
      </x:c>
      <x:c r="T50" s="24"/>
      <x:c r="U50" s="17" t="str">
        <x:v>https://graph.microsoft.com/v1.0/me/drive/items/01DHXXN7YASXKBZPOLSBHIX2N2T3PB4G2R#page=27</x:v>
      </x:c>
      <x:c r="V50" s="17" t="str">
        <x:v>https://graph.microsoft.com/v1.0/me/drive/items/01DHXXN7YASXKBZPOLSBHIX2N2T3PB4G2R</x:v>
      </x:c>
      <x:c r="W50" s="17" t="str">
        <x:v>97bc632bc98b066aa1af218fdce61070b7bde5ebefa8a72bb848673a0eb8d538</x:v>
      </x:c>
      <x:c r="X50" s="17" t="str">
        <x:v>SKU no publicado; se conserva una identidad técnica estable.</x:v>
      </x:c>
    </x:row>
    <x:row r="51" ht="34" customHeight="1">
      <x:c r="A51" s="17" t="str">
        <x:v>IDÉLIKA</x:v>
      </x:c>
      <x:c r="B51" s="17" t="str">
        <x:v>Stock</x:v>
      </x:c>
      <x:c r="C51" s="17" t="str">
        <x:v>2 CATALOGO STOCK 2026.pdf</x:v>
      </x:c>
      <x:c r="D51" s="21" t="n">
        <x:v>27</x:v>
      </x:c>
      <x:c r="E51" s="17" t="str">
        <x:v>idelika:stock:sin-sku:edade8c8d5ce8a394caf</x:v>
      </x:c>
      <x:c r="F51" s="17"/>
      <x:c r="G51" s="22" t="str">
        <x:v>por_verificar</x:v>
      </x:c>
      <x:c r="H51" s="17" t="str">
        <x:v>Sonsuara camastro doble</x:v>
      </x:c>
      <x:c r="I51" s="17" t="str">
        <x:v>SauraSonsuara camastro</x:v>
      </x:c>
      <x:c r="J51" s="17"/>
      <x:c r="K51" s="17" t="str">
        <x:v>Madera Maciza de Eucalipto</x:v>
      </x:c>
      <x:c r="L51" s="17" t="str">
        <x:v>88*198*139</x:v>
      </x:c>
      <x:c r="M51" s="17" t="str">
        <x:v>Madera Maciza de Eucalipto 88*198*139</x:v>
      </x:c>
      <x:c r="N51" s="22" t="str">
        <x:v>pieza</x:v>
      </x:c>
      <x:c r="O51" s="23" t="n">
        <x:v>29990</x:v>
      </x:c>
      <x:c r="P51" s="23" t="n">
        <x:v>34990</x:v>
      </x:c>
      <x:c r="Q51" s="17" t="str">
        <x:v>$34,990 – $29,990</x:v>
      </x:c>
      <x:c r="R51" s="22" t="str">
        <x:v>confirmado</x:v>
      </x:c>
      <x:c r="S51" s="22" t="str">
        <x:v>Sí</x:v>
      </x:c>
      <x:c r="T51" s="24"/>
      <x:c r="U51" s="17" t="str">
        <x:v>https://graph.microsoft.com/v1.0/me/drive/items/01DHXXN7YASXKBZPOLSBHIX2N2T3PB4G2R#page=27</x:v>
      </x:c>
      <x:c r="V51" s="17" t="str">
        <x:v>https://graph.microsoft.com/v1.0/me/drive/items/01DHXXN7YASXKBZPOLSBHIX2N2T3PB4G2R</x:v>
      </x:c>
      <x:c r="W51" s="17" t="str">
        <x:v>edade8c8d5ce8a394cafec45852a200a4bf477ee9b976d3009cf0f398f9ce32f</x:v>
      </x:c>
      <x:c r="X51" s="17" t="str">
        <x:v>SKU no publicado; se conserva una identidad técnica estable.</x:v>
      </x:c>
    </x:row>
    <x:row r="52" ht="34" customHeight="1">
      <x:c r="A52" s="17" t="str">
        <x:v>IDÉLIKA</x:v>
      </x:c>
      <x:c r="B52" s="17" t="str">
        <x:v>Stock</x:v>
      </x:c>
      <x:c r="C52" s="17" t="str">
        <x:v>2 CATALOGO STOCK 2026.pdf</x:v>
      </x:c>
      <x:c r="D52" s="21" t="n">
        <x:v>27</x:v>
      </x:c>
      <x:c r="E52" s="17" t="str">
        <x:v>idelika:stock:sin-sku:4813badb227914386cff</x:v>
      </x:c>
      <x:c r="F52" s="17"/>
      <x:c r="G52" s="22" t="str">
        <x:v>por_verificar</x:v>
      </x:c>
      <x:c r="H52" s="17" t="str">
        <x:v>Saura mesa</x:v>
      </x:c>
      <x:c r="I52" s="17" t="str">
        <x:v>SauraSonsuara camastro</x:v>
      </x:c>
      <x:c r="J52" s="17"/>
      <x:c r="K52" s="17" t="str">
        <x:v>Terrazo</x:v>
      </x:c>
      <x:c r="L52" s="17" t="str">
        <x:v>44*44*48</x:v>
      </x:c>
      <x:c r="M52" s="17" t="str">
        <x:v>Terrazo 44*44*48</x:v>
      </x:c>
      <x:c r="N52" s="22" t="str">
        <x:v>pieza</x:v>
      </x:c>
      <x:c r="O52" s="23" t="n">
        <x:v>5990</x:v>
      </x:c>
      <x:c r="P52" s="23" t="n">
        <x:v>6490</x:v>
      </x:c>
      <x:c r="Q52" s="17" t="str">
        <x:v>$6,490 – $5,990</x:v>
      </x:c>
      <x:c r="R52" s="22" t="str">
        <x:v>confirmado</x:v>
      </x:c>
      <x:c r="S52" s="22" t="str">
        <x:v>Sí</x:v>
      </x:c>
      <x:c r="T52" s="24"/>
      <x:c r="U52" s="17" t="str">
        <x:v>https://graph.microsoft.com/v1.0/me/drive/items/01DHXXN7YASXKBZPOLSBHIX2N2T3PB4G2R#page=27</x:v>
      </x:c>
      <x:c r="V52" s="17" t="str">
        <x:v>https://graph.microsoft.com/v1.0/me/drive/items/01DHXXN7YASXKBZPOLSBHIX2N2T3PB4G2R</x:v>
      </x:c>
      <x:c r="W52" s="17" t="str">
        <x:v>4813badb227914386cff2323734cbbb8ba20fc2521871618fd27939abd253fc9</x:v>
      </x:c>
      <x:c r="X52" s="17" t="str">
        <x:v>SKU no publicado; se conserva una identidad técnica estable.</x:v>
      </x:c>
    </x:row>
    <x:row r="53" ht="34" customHeight="1">
      <x:c r="A53" s="17" t="str">
        <x:v>IDÉLIKA</x:v>
      </x:c>
      <x:c r="B53" s="17" t="str">
        <x:v>Stock</x:v>
      </x:c>
      <x:c r="C53" s="17" t="str">
        <x:v>2 CATALOGO STOCK 2026.pdf</x:v>
      </x:c>
      <x:c r="D53" s="21" t="n">
        <x:v>27</x:v>
      </x:c>
      <x:c r="E53" s="17" t="str">
        <x:v>idelika:stock:sin-sku:7a39d6d929effd6b90cd</x:v>
      </x:c>
      <x:c r="F53" s="17"/>
      <x:c r="G53" s="22" t="str">
        <x:v>por_verificar</x:v>
      </x:c>
      <x:c r="H53" s="17" t="str">
        <x:v>Pada mesa</x:v>
      </x:c>
      <x:c r="I53" s="17" t="str">
        <x:v>SauraSonsuara camastro</x:v>
      </x:c>
      <x:c r="J53" s="17"/>
      <x:c r="K53" s="17" t="str">
        <x:v>Terrazo</x:v>
      </x:c>
      <x:c r="L53" s="17" t="str">
        <x:v>40*40*45</x:v>
      </x:c>
      <x:c r="M53" s="17" t="str">
        <x:v>Terrazo 40*40*45</x:v>
      </x:c>
      <x:c r="N53" s="22" t="str">
        <x:v>pieza</x:v>
      </x:c>
      <x:c r="O53" s="23" t="n">
        <x:v>3990</x:v>
      </x:c>
      <x:c r="P53" s="23" t="n">
        <x:v>6290</x:v>
      </x:c>
      <x:c r="Q53" s="17" t="str">
        <x:v>$6,290 – $3,990</x:v>
      </x:c>
      <x:c r="R53" s="22" t="str">
        <x:v>confirmado</x:v>
      </x:c>
      <x:c r="S53" s="22" t="str">
        <x:v>Sí</x:v>
      </x:c>
      <x:c r="T53" s="24"/>
      <x:c r="U53" s="17" t="str">
        <x:v>https://graph.microsoft.com/v1.0/me/drive/items/01DHXXN7YASXKBZPOLSBHIX2N2T3PB4G2R#page=27</x:v>
      </x:c>
      <x:c r="V53" s="17" t="str">
        <x:v>https://graph.microsoft.com/v1.0/me/drive/items/01DHXXN7YASXKBZPOLSBHIX2N2T3PB4G2R</x:v>
      </x:c>
      <x:c r="W53" s="17" t="str">
        <x:v>7a39d6d929effd6b90cdd8af287266df989994f522640962bc61e4acb7a5580c</x:v>
      </x:c>
      <x:c r="X53" s="17" t="str">
        <x:v>SKU no publicado; se conserva una identidad técnica estable.</x:v>
      </x:c>
    </x:row>
    <x:row r="54" ht="34" customHeight="1">
      <x:c r="A54" s="17" t="str">
        <x:v>IDÉLIKA</x:v>
      </x:c>
      <x:c r="B54" s="17" t="str">
        <x:v>Stock</x:v>
      </x:c>
      <x:c r="C54" s="17" t="str">
        <x:v>2 CATALOGO STOCK 2026.pdf</x:v>
      </x:c>
      <x:c r="D54" s="21" t="n">
        <x:v>28</x:v>
      </x:c>
      <x:c r="E54" s="17" t="str">
        <x:v>idelika:stock:sin-sku:2b7b69f7f4e8330d281f</x:v>
      </x:c>
      <x:c r="F54" s="17"/>
      <x:c r="G54" s="22" t="str">
        <x:v>por_verificar</x:v>
      </x:c>
      <x:c r="H54" s="17" t="str">
        <x:v>Camastro Nizuc</x:v>
      </x:c>
      <x:c r="I54" s="17"/>
      <x:c r="J54" s="17"/>
      <x:c r="K54" s="17" t="str">
        <x:v>Polipropileno y textilene</x:v>
      </x:c>
      <x:c r="L54" s="17" t="str">
        <x:v>190*68*31.5 alto</x:v>
      </x:c>
      <x:c r="M54" s="17" t="str">
        <x:v>Polipropileno y textilene 3 años garantía (uso contract) 190*68*31.5 alto Próximamente….Verano 2026</x:v>
      </x:c>
      <x:c r="N54" s="22" t="str">
        <x:v>pieza</x:v>
      </x:c>
      <x:c r="O54" s="23" t="n">
        <x:v>5990</x:v>
      </x:c>
      <x:c r="P54" s="23" t="n">
        <x:v>7990</x:v>
      </x:c>
      <x:c r="Q54" s="17" t="str">
        <x:v>$7,990 – $5,990</x:v>
      </x:c>
      <x:c r="R54" s="22" t="str">
        <x:v>confirmado</x:v>
      </x:c>
      <x:c r="S54" s="22" t="str">
        <x:v>Sí</x:v>
      </x:c>
      <x:c r="T54" s="24"/>
      <x:c r="U54" s="17" t="str">
        <x:v>https://graph.microsoft.com/v1.0/me/drive/items/01DHXXN7YASXKBZPOLSBHIX2N2T3PB4G2R#page=28</x:v>
      </x:c>
      <x:c r="V54" s="17" t="str">
        <x:v>https://graph.microsoft.com/v1.0/me/drive/items/01DHXXN7YASXKBZPOLSBHIX2N2T3PB4G2R</x:v>
      </x:c>
      <x:c r="W54" s="17" t="str">
        <x:v>2b7b69f7f4e8330d281f14d12d9ce92c4a0af375dce178a37f624f43cdc12322</x:v>
      </x:c>
      <x:c r="X54" s="17" t="str">
        <x:v>SKU no publicado; se conserva una identidad técnica estable.</x:v>
      </x:c>
    </x:row>
    <x:row r="55" ht="34" customHeight="1">
      <x:c r="A55" s="17" t="str">
        <x:v>IDÉLIKA</x:v>
      </x:c>
      <x:c r="B55" s="17" t="str">
        <x:v>Stock</x:v>
      </x:c>
      <x:c r="C55" s="17" t="str">
        <x:v>2 CATALOGO STOCK 2026.pdf</x:v>
      </x:c>
      <x:c r="D55" s="21" t="n">
        <x:v>29</x:v>
      </x:c>
      <x:c r="E55" s="17" t="str">
        <x:v>idelika:stock:sin-sku:9254075fbd0fc6d48ff4</x:v>
      </x:c>
      <x:c r="F55" s="17"/>
      <x:c r="G55" s="22" t="str">
        <x:v>por_verificar</x:v>
      </x:c>
      <x:c r="H55" s="17" t="str">
        <x:v>Itai mesa comedor</x:v>
      </x:c>
      <x:c r="I55" s="17"/>
      <x:c r="J55" s="17"/>
      <x:c r="K55" s="17" t="str">
        <x:v>Cemento</x:v>
      </x:c>
      <x:c r="L55" s="17" t="str">
        <x:v>120*120*75</x:v>
      </x:c>
      <x:c r="M55" s="17" t="str">
        <x:v>Cemento 120*120*75</x:v>
      </x:c>
      <x:c r="N55" s="22" t="str">
        <x:v>pieza</x:v>
      </x:c>
      <x:c r="O55" s="23" t="n">
        <x:v>19990</x:v>
      </x:c>
      <x:c r="P55" s="23" t="n">
        <x:v>21990</x:v>
      </x:c>
      <x:c r="Q55" s="17" t="str">
        <x:v>$21,990 – $19,990</x:v>
      </x:c>
      <x:c r="R55" s="22" t="str">
        <x:v>confirmado</x:v>
      </x:c>
      <x:c r="S55" s="22" t="str">
        <x:v>Sí</x:v>
      </x:c>
      <x:c r="T55" s="24"/>
      <x:c r="U55" s="17" t="str">
        <x:v>https://graph.microsoft.com/v1.0/me/drive/items/01DHXXN7YASXKBZPOLSBHIX2N2T3PB4G2R#page=29</x:v>
      </x:c>
      <x:c r="V55" s="17" t="str">
        <x:v>https://graph.microsoft.com/v1.0/me/drive/items/01DHXXN7YASXKBZPOLSBHIX2N2T3PB4G2R</x:v>
      </x:c>
      <x:c r="W55" s="17" t="str">
        <x:v>9254075fbd0fc6d48ff4448bab8ab04d79e1ac9187dce1d544834e9b1aa4b345</x:v>
      </x:c>
      <x:c r="X55" s="17" t="str">
        <x:v>SKU no publicado; se conserva una identidad técnica estable.</x:v>
      </x:c>
    </x:row>
    <x:row r="56" ht="34" customHeight="1">
      <x:c r="A56" s="17" t="str">
        <x:v>IDÉLIKA</x:v>
      </x:c>
      <x:c r="B56" s="17" t="str">
        <x:v>Stock</x:v>
      </x:c>
      <x:c r="C56" s="17" t="str">
        <x:v>2 CATALOGO STOCK 2026.pdf</x:v>
      </x:c>
      <x:c r="D56" s="21" t="n">
        <x:v>29</x:v>
      </x:c>
      <x:c r="E56" s="17" t="str">
        <x:v>idelika:stock:sin-sku:a0745f9407cf1f97eace</x:v>
      </x:c>
      <x:c r="F56" s="17"/>
      <x:c r="G56" s="22" t="str">
        <x:v>por_verificar</x:v>
      </x:c>
      <x:c r="H56" s="17" t="str">
        <x:v>Garbet mesa Centro grande</x:v>
      </x:c>
      <x:c r="I56" s="17"/>
      <x:c r="J56" s="17"/>
      <x:c r="K56" s="17" t="str">
        <x:v>Importación Cemento</x:v>
      </x:c>
      <x:c r="L56" s="17" t="str">
        <x:v>80*80*40</x:v>
      </x:c>
      <x:c r="M56" s="17" t="str">
        <x:v>80*80*40 Calidad contract</x:v>
      </x:c>
      <x:c r="N56" s="22" t="str">
        <x:v>pieza</x:v>
      </x:c>
      <x:c r="O56" s="23" t="n">
        <x:v>12990</x:v>
      </x:c>
      <x:c r="P56" s="23" t="n">
        <x:v>15990</x:v>
      </x:c>
      <x:c r="Q56" s="17" t="str">
        <x:v>$15,990 – $12,990</x:v>
      </x:c>
      <x:c r="R56" s="22" t="str">
        <x:v>confirmado</x:v>
      </x:c>
      <x:c r="S56" s="22" t="str">
        <x:v>Sí</x:v>
      </x:c>
      <x:c r="T56" s="24"/>
      <x:c r="U56" s="17" t="str">
        <x:v>https://graph.microsoft.com/v1.0/me/drive/items/01DHXXN7YASXKBZPOLSBHIX2N2T3PB4G2R#page=29</x:v>
      </x:c>
      <x:c r="V56" s="17" t="str">
        <x:v>https://graph.microsoft.com/v1.0/me/drive/items/01DHXXN7YASXKBZPOLSBHIX2N2T3PB4G2R</x:v>
      </x:c>
      <x:c r="W56" s="17" t="str">
        <x:v>a0745f9407cf1f97eace6f9d3937fdb1b561c4917d8a11492878570653a073f6</x:v>
      </x:c>
      <x:c r="X56" s="17" t="str">
        <x:v>SKU no publicado; se conserva una identidad técnica estable.</x:v>
      </x:c>
    </x:row>
    <x:row r="57" ht="34" customHeight="1">
      <x:c r="A57" s="17" t="str">
        <x:v>IDÉLIKA</x:v>
      </x:c>
      <x:c r="B57" s="17" t="str">
        <x:v>Stock</x:v>
      </x:c>
      <x:c r="C57" s="17" t="str">
        <x:v>2 CATALOGO STOCK 2026.pdf</x:v>
      </x:c>
      <x:c r="D57" s="21" t="n">
        <x:v>29</x:v>
      </x:c>
      <x:c r="E57" s="17" t="str">
        <x:v>idelika:stock:sin-sku:c1fd5080113dbf73e037</x:v>
      </x:c>
      <x:c r="F57" s="17"/>
      <x:c r="G57" s="22" t="str">
        <x:v>por_verificar</x:v>
      </x:c>
      <x:c r="H57" s="17" t="str">
        <x:v>Garbet mesa auxiliar</x:v>
      </x:c>
      <x:c r="I57" s="17"/>
      <x:c r="J57" s="17"/>
      <x:c r="K57" s="17" t="str">
        <x:v>Importación Cemento cemento</x:v>
      </x:c>
      <x:c r="L57" s="17" t="str">
        <x:v>32*32*46</x:v>
      </x:c>
      <x:c r="M57" s="17" t="str">
        <x:v>32*32*46 Rustella cemento 80*60*30 Próximamente….Verano 2026</x:v>
      </x:c>
      <x:c r="N57" s="22" t="str">
        <x:v>pieza</x:v>
      </x:c>
      <x:c r="O57" s="23" t="n">
        <x:v>3990</x:v>
      </x:c>
      <x:c r="P57" s="23" t="n">
        <x:v>5990</x:v>
      </x:c>
      <x:c r="Q57" s="17" t="str">
        <x:v>$5,990 – $3,990</x:v>
      </x:c>
      <x:c r="R57" s="22" t="str">
        <x:v>confirmado</x:v>
      </x:c>
      <x:c r="S57" s="22" t="str">
        <x:v>Sí</x:v>
      </x:c>
      <x:c r="T57" s="24"/>
      <x:c r="U57" s="17" t="str">
        <x:v>https://graph.microsoft.com/v1.0/me/drive/items/01DHXXN7YASXKBZPOLSBHIX2N2T3PB4G2R#page=29</x:v>
      </x:c>
      <x:c r="V57" s="17" t="str">
        <x:v>https://graph.microsoft.com/v1.0/me/drive/items/01DHXXN7YASXKBZPOLSBHIX2N2T3PB4G2R</x:v>
      </x:c>
      <x:c r="W57" s="17" t="str">
        <x:v>c1fd5080113dbf73e0370559d1597eccf57b039a8689fe31f8a8bf0d116badc0</x:v>
      </x:c>
      <x:c r="X57" s="17" t="str">
        <x:v>SKU no publicado; se conserva una identidad técnica estable.</x:v>
      </x:c>
    </x:row>
    <x:row r="58" ht="34" customHeight="1">
      <x:c r="A58" s="17" t="str">
        <x:v>IDÉLIKA</x:v>
      </x:c>
      <x:c r="B58" s="17" t="str">
        <x:v>Stock</x:v>
      </x:c>
      <x:c r="C58" s="17" t="str">
        <x:v>2 CATALOGO STOCK 2026.pdf</x:v>
      </x:c>
      <x:c r="D58" s="21" t="n">
        <x:v>29</x:v>
      </x:c>
      <x:c r="E58" s="17" t="str">
        <x:v>idelika:stock:sin-sku:dce69faf6fbe071a7c88</x:v>
      </x:c>
      <x:c r="F58" s="17"/>
      <x:c r="G58" s="22" t="str">
        <x:v>por_verificar</x:v>
      </x:c>
      <x:c r="H58" s="17" t="str">
        <x:v>Garbet mesa auxiliar</x:v>
      </x:c>
      <x:c r="I58" s="17"/>
      <x:c r="J58" s="17" t="str">
        <x:v>centro</x:v>
      </x:c>
      <x:c r="K58" s="17" t="str">
        <x:v>Importación Cemento cemento</x:v>
      </x:c>
      <x:c r="L58" s="17" t="str">
        <x:v>80*60*30</x:v>
      </x:c>
      <x:c r="M58" s="17" t="str">
        <x:v>32*32*46 Rustella cemento 80*60*30 Próximamente….Verano 2026</x:v>
      </x:c>
      <x:c r="N58" s="22" t="str">
        <x:v>pieza</x:v>
      </x:c>
      <x:c r="O58" s="23" t="n">
        <x:v>12990</x:v>
      </x:c>
      <x:c r="P58" s="23" t="n">
        <x:v>15990</x:v>
      </x:c>
      <x:c r="Q58" s="17" t="str">
        <x:v>$15,990 – $12,990 centro</x:v>
      </x:c>
      <x:c r="R58" s="22" t="str">
        <x:v>confirmado</x:v>
      </x:c>
      <x:c r="S58" s="22" t="str">
        <x:v>Sí</x:v>
      </x:c>
      <x:c r="T58" s="24"/>
      <x:c r="U58" s="17" t="str">
        <x:v>https://graph.microsoft.com/v1.0/me/drive/items/01DHXXN7YASXKBZPOLSBHIX2N2T3PB4G2R#page=29</x:v>
      </x:c>
      <x:c r="V58" s="17" t="str">
        <x:v>https://graph.microsoft.com/v1.0/me/drive/items/01DHXXN7YASXKBZPOLSBHIX2N2T3PB4G2R</x:v>
      </x:c>
      <x:c r="W58" s="17" t="str">
        <x:v>dce69faf6fbe071a7c8862f44c2decda38804f2a25b68cacb9d6db5da04c5cf7</x:v>
      </x:c>
      <x:c r="X58" s="17" t="str">
        <x:v>SKU no publicado; se conserva una identidad técnica estable.</x:v>
      </x:c>
    </x:row>
    <x:row r="59" ht="34" customHeight="1">
      <x:c r="A59" s="17" t="str">
        <x:v>IDÉLIKA</x:v>
      </x:c>
      <x:c r="B59" s="17" t="str">
        <x:v>Stock</x:v>
      </x:c>
      <x:c r="C59" s="17" t="str">
        <x:v>2 CATALOGO STOCK 2026.pdf</x:v>
      </x:c>
      <x:c r="D59" s="21" t="n">
        <x:v>29</x:v>
      </x:c>
      <x:c r="E59" s="17" t="str">
        <x:v>idelika:stock:sin-sku:5fd5fed2fd991c268b0b</x:v>
      </x:c>
      <x:c r="F59" s="17"/>
      <x:c r="G59" s="22" t="str">
        <x:v>por_verificar</x:v>
      </x:c>
      <x:c r="H59" s="17" t="str">
        <x:v>Garbet mesa auxiliar</x:v>
      </x:c>
      <x:c r="I59" s="17"/>
      <x:c r="J59" s="17" t="str">
        <x:v>auxiliar</x:v>
      </x:c>
      <x:c r="K59" s="17" t="str">
        <x:v>Importación Cemento cemento</x:v>
      </x:c>
      <x:c r="L59" s="17"/>
      <x:c r="M59" s="17" t="str">
        <x:v>32*32*46 Rustella cemento 80*60*30 Próximamente….Verano 2026</x:v>
      </x:c>
      <x:c r="N59" s="22" t="str">
        <x:v>pieza</x:v>
      </x:c>
      <x:c r="O59" s="23" t="n">
        <x:v>3990</x:v>
      </x:c>
      <x:c r="P59" s="23" t="n">
        <x:v>5990</x:v>
      </x:c>
      <x:c r="Q59" s="17" t="str">
        <x:v>$5,990 – $3,990 auxiliar</x:v>
      </x:c>
      <x:c r="R59" s="22" t="str">
        <x:v>confirmado</x:v>
      </x:c>
      <x:c r="S59" s="22" t="str">
        <x:v>Sí</x:v>
      </x:c>
      <x:c r="T59" s="24"/>
      <x:c r="U59" s="17" t="str">
        <x:v>https://graph.microsoft.com/v1.0/me/drive/items/01DHXXN7YASXKBZPOLSBHIX2N2T3PB4G2R#page=29</x:v>
      </x:c>
      <x:c r="V59" s="17" t="str">
        <x:v>https://graph.microsoft.com/v1.0/me/drive/items/01DHXXN7YASXKBZPOLSBHIX2N2T3PB4G2R</x:v>
      </x:c>
      <x:c r="W59" s="17" t="str">
        <x:v>5fd5fed2fd991c268b0b139c89ce78a6b8b6877296c8b45822baa551f9e4a4c4</x:v>
      </x:c>
      <x:c r="X59" s="17" t="str">
        <x:v>SKU no publicado; se conserva una identidad técnica estable.</x:v>
      </x:c>
    </x:row>
    <x:row r="60" ht="34" customHeight="1">
      <x:c r="A60" s="17" t="str">
        <x:v>IDÉLIKA</x:v>
      </x:c>
      <x:c r="B60" s="17" t="str">
        <x:v>Stock</x:v>
      </x:c>
      <x:c r="C60" s="17" t="str">
        <x:v>2 CATALOGO STOCK 2026.pdf</x:v>
      </x:c>
      <x:c r="D60" s="21" t="n">
        <x:v>30</x:v>
      </x:c>
      <x:c r="E60" s="17" t="str">
        <x:v>idelika:stock:sin-sku:988c4fab1c8e19722198</x:v>
      </x:c>
      <x:c r="F60" s="17"/>
      <x:c r="G60" s="22" t="str">
        <x:v>por_verificar</x:v>
      </x:c>
      <x:c r="H60" s="17" t="str">
        <x:v>Mesa centro</x:v>
      </x:c>
      <x:c r="I60" s="17"/>
      <x:c r="J60" s="17"/>
      <x:c r="K60" s="17" t="str">
        <x:v>Terrazo</x:v>
      </x:c>
      <x:c r="L60" s="17" t="str">
        <x:v>52*52*30</x:v>
      </x:c>
      <x:c r="M60" s="17" t="str">
        <x:v>Terrazo 52*52*30 Calidad contract (uso rudo) Jenell</x:v>
      </x:c>
      <x:c r="N60" s="22" t="str">
        <x:v>pieza</x:v>
      </x:c>
      <x:c r="O60" s="23" t="n">
        <x:v>4990</x:v>
      </x:c>
      <x:c r="P60" s="23" t="n">
        <x:v>6990</x:v>
      </x:c>
      <x:c r="Q60" s="17" t="str">
        <x:v>$6,990 – $4,990</x:v>
      </x:c>
      <x:c r="R60" s="22" t="str">
        <x:v>confirmado</x:v>
      </x:c>
      <x:c r="S60" s="22" t="str">
        <x:v>Sí</x:v>
      </x:c>
      <x:c r="T60" s="24"/>
      <x:c r="U60" s="17" t="str">
        <x:v>https://graph.microsoft.com/v1.0/me/drive/items/01DHXXN7YASXKBZPOLSBHIX2N2T3PB4G2R#page=30</x:v>
      </x:c>
      <x:c r="V60" s="17" t="str">
        <x:v>https://graph.microsoft.com/v1.0/me/drive/items/01DHXXN7YASXKBZPOLSBHIX2N2T3PB4G2R</x:v>
      </x:c>
      <x:c r="W60" s="17" t="str">
        <x:v>988c4fab1c8e19722198eee73f78329669def3ac5e2368f2d8618bf331800065</x:v>
      </x:c>
      <x:c r="X60" s="17" t="str">
        <x:v>SKU no publicado; se conserva una identidad técnica estable.</x:v>
      </x:c>
    </x:row>
    <x:row r="61" ht="34" customHeight="1">
      <x:c r="A61" s="17" t="str">
        <x:v>IDÉLIKA</x:v>
      </x:c>
      <x:c r="B61" s="17" t="str">
        <x:v>Stock</x:v>
      </x:c>
      <x:c r="C61" s="17" t="str">
        <x:v>2 CATALOGO STOCK 2026.pdf</x:v>
      </x:c>
      <x:c r="D61" s="21" t="n">
        <x:v>30</x:v>
      </x:c>
      <x:c r="E61" s="17" t="str">
        <x:v>idelika:stock:sin-sku:50ed925bc0f3f6cea710</x:v>
      </x:c>
      <x:c r="F61" s="17"/>
      <x:c r="G61" s="22" t="str">
        <x:v>por_verificar</x:v>
      </x:c>
      <x:c r="H61" s="17" t="str">
        <x:v>Mesa auxiliar</x:v>
      </x:c>
      <x:c r="I61" s="17"/>
      <x:c r="J61" s="17"/>
      <x:c r="K61" s="17" t="str">
        <x:v>Terrazo</x:v>
      </x:c>
      <x:c r="L61" s="17" t="str">
        <x:v>35*35*46</x:v>
      </x:c>
      <x:c r="M61" s="17" t="str">
        <x:v>Terrazo 35*35*46 Calidad contract (uso rudo) 13 Colba</x:v>
      </x:c>
      <x:c r="N61" s="22" t="str">
        <x:v>pieza</x:v>
      </x:c>
      <x:c r="O61" s="23" t="n">
        <x:v>3990</x:v>
      </x:c>
      <x:c r="P61" s="23" t="n">
        <x:v>5990</x:v>
      </x:c>
      <x:c r="Q61" s="17" t="str">
        <x:v>$5,990 – $3,990</x:v>
      </x:c>
      <x:c r="R61" s="22" t="str">
        <x:v>confirmado</x:v>
      </x:c>
      <x:c r="S61" s="22" t="str">
        <x:v>Sí</x:v>
      </x:c>
      <x:c r="T61" s="24"/>
      <x:c r="U61" s="17" t="str">
        <x:v>https://graph.microsoft.com/v1.0/me/drive/items/01DHXXN7YASXKBZPOLSBHIX2N2T3PB4G2R#page=30</x:v>
      </x:c>
      <x:c r="V61" s="17" t="str">
        <x:v>https://graph.microsoft.com/v1.0/me/drive/items/01DHXXN7YASXKBZPOLSBHIX2N2T3PB4G2R</x:v>
      </x:c>
      <x:c r="W61" s="17" t="str">
        <x:v>50ed925bc0f3f6cea710ed107ed6538bf7e4fd7320a0f5bf4e5fbba364516fcb</x:v>
      </x:c>
      <x:c r="X61" s="17" t="str">
        <x:v>SKU no publicado; se conserva una identidad técnica estable.</x:v>
      </x:c>
    </x:row>
    <x:row r="62" ht="34" customHeight="1">
      <x:c r="A62" s="17" t="str">
        <x:v>IDÉLIKA</x:v>
      </x:c>
      <x:c r="B62" s="17" t="str">
        <x:v>Stock</x:v>
      </x:c>
      <x:c r="C62" s="17" t="str">
        <x:v>2 CATALOGO STOCK 2026.pdf</x:v>
      </x:c>
      <x:c r="D62" s="21" t="n">
        <x:v>30</x:v>
      </x:c>
      <x:c r="E62" s="17" t="str">
        <x:v>idelika:stock:sin-sku:1a66bc8e2ddf435a8503</x:v>
      </x:c>
      <x:c r="F62" s="17"/>
      <x:c r="G62" s="22" t="str">
        <x:v>por_verificar</x:v>
      </x:c>
      <x:c r="H62" s="17" t="str">
        <x:v>Mesa centro</x:v>
      </x:c>
      <x:c r="I62" s="17"/>
      <x:c r="J62" s="17"/>
      <x:c r="K62" s="17" t="str">
        <x:v>Polycemento</x:v>
      </x:c>
      <x:c r="L62" s="17" t="str">
        <x:v>100*100*30</x:v>
      </x:c>
      <x:c r="M62" s="17" t="str">
        <x:v>Polycemento 100*100*30 Calidad contract (uso rudo) Próximamente….Verano 2026</x:v>
      </x:c>
      <x:c r="N62" s="22" t="str">
        <x:v>pieza</x:v>
      </x:c>
      <x:c r="O62" s="23" t="n">
        <x:v>13990</x:v>
      </x:c>
      <x:c r="P62" s="23" t="n">
        <x:v>14990</x:v>
      </x:c>
      <x:c r="Q62" s="17" t="str">
        <x:v>$14,990 – $13,990</x:v>
      </x:c>
      <x:c r="R62" s="22" t="str">
        <x:v>confirmado</x:v>
      </x:c>
      <x:c r="S62" s="22" t="str">
        <x:v>Sí</x:v>
      </x:c>
      <x:c r="T62" s="24"/>
      <x:c r="U62" s="17" t="str">
        <x:v>https://graph.microsoft.com/v1.0/me/drive/items/01DHXXN7YASXKBZPOLSBHIX2N2T3PB4G2R#page=30</x:v>
      </x:c>
      <x:c r="V62" s="17" t="str">
        <x:v>https://graph.microsoft.com/v1.0/me/drive/items/01DHXXN7YASXKBZPOLSBHIX2N2T3PB4G2R</x:v>
      </x:c>
      <x:c r="W62" s="17" t="str">
        <x:v>1a66bc8e2ddf435a85032db6233c48ebde4785ade34f46ee44ce468d670b7452</x:v>
      </x:c>
      <x:c r="X62" s="17" t="str">
        <x:v>SKU no publicado; se conserva una identidad técnica estable.</x:v>
      </x:c>
    </x:row>
    <x:row r="63" ht="34" customHeight="1">
      <x:c r="A63" s="17" t="str">
        <x:v>IDÉLIKA</x:v>
      </x:c>
      <x:c r="B63" s="17" t="str">
        <x:v>Stock</x:v>
      </x:c>
      <x:c r="C63" s="17" t="str">
        <x:v>2 CATALOGO STOCK 2026.pdf</x:v>
      </x:c>
      <x:c r="D63" s="21" t="n">
        <x:v>32</x:v>
      </x:c>
      <x:c r="E63" s="17" t="str">
        <x:v>idelika:stock:sin-sku:4b1d9f114b5c110d3260</x:v>
      </x:c>
      <x:c r="F63" s="17"/>
      <x:c r="G63" s="22" t="str">
        <x:v>por_verificar</x:v>
      </x:c>
      <x:c r="H63" s="17" t="str">
        <x:v>Salamanca silla Multicolor</x:v>
      </x:c>
      <x:c r="I63" s="17"/>
      <x:c r="J63" s="17"/>
      <x:c r="K63" s="17" t="str">
        <x:v>Acero y tela</x:v>
      </x:c>
      <x:c r="L63" s="17" t="str">
        <x:v>76*80*86</x:v>
      </x:c>
      <x:c r="M63" s="17" t="str">
        <x:v>Acero y tela 76*80*86 Visita la sección Outlet /sale en www.idelika.com y descubre este y muchos productos más</x:v>
      </x:c>
      <x:c r="N63" s="22" t="str">
        <x:v>pieza</x:v>
      </x:c>
      <x:c r="O63" s="23"/>
      <x:c r="P63" s="23"/>
      <x:c r="Q63" s="17"/>
      <x:c r="R63" s="22" t="str">
        <x:v>por_confirmar</x:v>
      </x:c>
      <x:c r="S63" s="22" t="str">
        <x:v>Sí</x:v>
      </x:c>
      <x:c r="T63" s="24"/>
      <x:c r="U63" s="17" t="str">
        <x:v>https://graph.microsoft.com/v1.0/me/drive/items/01DHXXN7YASXKBZPOLSBHIX2N2T3PB4G2R#page=32</x:v>
      </x:c>
      <x:c r="V63" s="17" t="str">
        <x:v>https://graph.microsoft.com/v1.0/me/drive/items/01DHXXN7YASXKBZPOLSBHIX2N2T3PB4G2R</x:v>
      </x:c>
      <x:c r="W63" s="17" t="str">
        <x:v>4b1d9f114b5c110d3260f2e858356f405325c9b3c86fcb2eff3030cec55e2ab5</x:v>
      </x:c>
      <x:c r="X63" s="17" t="str">
        <x:v>SKU no publicado; se conserva una identidad técnica estable. Precio por confirmar.</x:v>
      </x:c>
    </x:row>
  </x:sheetData>
  <x:pageMargins left="0.7" right="0.7" top="0.75" bottom="0.75" header="0.3" footer="0.3"/>
  <x:tableParts count="1">
    <x:tablePart xmlns:r="http://schemas.openxmlformats.org/officeDocument/2006/relationships" r:id="R4f0eb3a6ac3f4556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7" hidden="0" customWidth="1"/>
    <x:col min="3" max="3" width="36" hidden="0" customWidth="1"/>
    <x:col min="4" max="4" width="12" hidden="0" customWidth="1"/>
    <x:col min="5" max="5" width="35" hidden="0" customWidth="1"/>
    <x:col min="6" max="6" width="15" hidden="0" customWidth="1"/>
    <x:col min="7" max="7" width="15" hidden="0" customWidth="1"/>
    <x:col min="8" max="8" width="28" hidden="0" customWidth="1"/>
    <x:col min="9" max="9" width="22" hidden="0" customWidth="1"/>
    <x:col min="10" max="10" width="24" hidden="0" customWidth="1"/>
    <x:col min="11" max="11" width="30" hidden="0" customWidth="1"/>
    <x:col min="12" max="12" width="25" hidden="0" customWidth="1"/>
    <x:col min="13" max="13" width="52" hidden="0" customWidth="1"/>
    <x:col min="14" max="14" width="11" hidden="0" customWidth="1"/>
    <x:col min="15" max="15" width="18" hidden="0" customWidth="1"/>
    <x:col min="16" max="16" width="23" hidden="0" customWidth="1"/>
    <x:col min="17" max="17" width="28" hidden="0" customWidth="1"/>
    <x:col min="18" max="18" width="17" hidden="0" customWidth="1"/>
    <x:col min="19" max="19" width="12" hidden="0" customWidth="1"/>
    <x:col min="20" max="20" width="15" hidden="0" customWidth="1"/>
    <x:col min="21" max="21" width="45" hidden="0" customWidth="1"/>
    <x:col min="22" max="22" width="47" hidden="0" customWidth="1"/>
    <x:col min="23" max="23" width="67" hidden="0" customWidth="1"/>
    <x:col min="24" max="24" width="48" hidden="0" customWidth="1"/>
  </x:cols>
  <x:sheetData>
    <x:row r="1" ht="36" customHeight="1">
      <x:c r="A1" s="12" t="str">
        <x:v>Proveedor</x:v>
      </x:c>
      <x:c r="B1" s="13" t="str">
        <x:v>Subcatalogo</x:v>
      </x:c>
      <x:c r="C1" s="13" t="str">
        <x:v>Archivo_origen</x:v>
      </x:c>
      <x:c r="D1" s="13" t="str">
        <x:v>Pagina_origen</x:v>
      </x:c>
      <x:c r="E1" s="13" t="str">
        <x:v>Clave_estable</x:v>
      </x:c>
      <x:c r="F1" s="13" t="str">
        <x:v>SKU</x:v>
      </x:c>
      <x:c r="G1" s="13" t="str">
        <x:v>Estado_codigo</x:v>
      </x:c>
      <x:c r="H1" s="13" t="str">
        <x:v>Producto</x:v>
      </x:c>
      <x:c r="I1" s="13" t="str">
        <x:v>Familia</x:v>
      </x:c>
      <x:c r="J1" s="13" t="str">
        <x:v>Variante</x:v>
      </x:c>
      <x:c r="K1" s="13" t="str">
        <x:v>Material</x:v>
      </x:c>
      <x:c r="L1" s="13" t="str">
        <x:v>Medidas</x:v>
      </x:c>
      <x:c r="M1" s="13" t="str">
        <x:v>Descripcion</x:v>
      </x:c>
      <x:c r="N1" s="13" t="str">
        <x:v>Unidad</x:v>
      </x:c>
      <x:c r="O1" s="13" t="str">
        <x:v>Costo_MXN</x:v>
      </x:c>
      <x:c r="P1" s="13" t="str">
        <x:v>Precio_referencia_MXN</x:v>
      </x:c>
      <x:c r="Q1" s="13" t="str">
        <x:v>Precio_original</x:v>
      </x:c>
      <x:c r="R1" s="13" t="str">
        <x:v>Estado_precio</x:v>
      </x:c>
      <x:c r="S1" s="13" t="str">
        <x:v>Cotizable</x:v>
      </x:c>
      <x:c r="T1" s="13" t="str">
        <x:v>Minimo_compra</x:v>
      </x:c>
      <x:c r="U1" s="13" t="str">
        <x:v>Imagen_referencia</x:v>
      </x:c>
      <x:c r="V1" s="13" t="str">
        <x:v>URL_fuente</x:v>
      </x:c>
      <x:c r="W1" s="13" t="str">
        <x:v>Identidad_hash</x:v>
      </x:c>
      <x:c r="X1" s="14" t="str">
        <x:v>Notas</x:v>
      </x:c>
    </x:row>
    <x:row r="2" ht="34" customHeight="1">
      <x:c r="A2" s="17" t="str">
        <x:v>IDÉLIKA</x:v>
      </x:c>
      <x:c r="B2" s="17" t="str">
        <x:v>School Series</x:v>
      </x:c>
      <x:c r="C2" s="17" t="str">
        <x:v>4 SCHOOL SERIES 2026.pdf</x:v>
      </x:c>
      <x:c r="D2" s="21" t="n">
        <x:v>2</x:v>
      </x:c>
      <x:c r="E2" s="17" t="str">
        <x:v>idelika:school-series:sin-sku:23b62f015dafe2a95b04</x:v>
      </x:c>
      <x:c r="F2" s="17"/>
      <x:c r="G2" s="22" t="str">
        <x:v>por_verificar</x:v>
      </x:c>
      <x:c r="H2" s="17" t="str">
        <x:v>Pupitre 360 grados</x:v>
      </x:c>
      <x:c r="I2" s="17"/>
      <x:c r="J2" s="17"/>
      <x:c r="K2" s="17" t="str">
        <x:v>Polipropileno, fibra de vidrio, laminado plástico y acero.</x:v>
      </x:c>
      <x:c r="L2" s="17" t="str">
        <x:v>97*65*97 | 97*65*97</x:v>
      </x:c>
      <x:c r="M2" s="17" t="str">
        <x:v>diseño sin precedentes, exclusiva de flexibilidad, movilidad y almacenaje. Uso: Primaria superior hasta universitarios Materiales: Polipropileno, fibra de vidrio, laminado plástico y acero. Mecanismo: Pistón con altura regulable, porta paleta tubular giratorio y portavasos Medidas: 97*65*97 Humanity 360 grados diseño de nueva generación Uso: Primaria superior hasta universitarios Materiales: Polipropileno, fibra de vidrio, laminado plástico tela y acero. Mecanismo: Pistón con altura regulable, porta paleta tubular giratorio y portavasos Medidas: 97*65*97 Producto exclusivo de importación mínimo 200 piezas Producto en stock</x:v>
      </x:c>
      <x:c r="N2" s="22" t="str">
        <x:v>pieza</x:v>
      </x:c>
      <x:c r="O2" s="23"/>
      <x:c r="P2" s="23"/>
      <x:c r="Q2" s="17"/>
      <x:c r="R2" s="22" t="str">
        <x:v>por_confirmar</x:v>
      </x:c>
      <x:c r="S2" s="22" t="str">
        <x:v>Sí</x:v>
      </x:c>
      <x:c r="T2" s="24" t="n">
        <x:v>200</x:v>
      </x:c>
      <x:c r="U2" s="17" t="str">
        <x:v>https://graph.microsoft.com/v1.0/me/drive/items/01DHXXN7YTQLPUZXRUN5E3J62UE2JQUWNC#page=2</x:v>
      </x:c>
      <x:c r="V2" s="17" t="str">
        <x:v>https://graph.microsoft.com/v1.0/me/drive/items/01DHXXN7YTQLPUZXRUN5E3J62UE2JQUWNC</x:v>
      </x:c>
      <x:c r="W2" s="17" t="str">
        <x:v>23b62f015dafe2a95b048b78f86fcc62b469d5098289337a104bc580fd432caf</x:v>
      </x:c>
      <x:c r="X2" s="17" t="str">
        <x:v>SKU no publicado; se conserva una identidad técnica estable. Precio por confirmar.</x:v>
      </x:c>
    </x:row>
    <x:row r="3" ht="34" customHeight="1">
      <x:c r="A3" s="17" t="str">
        <x:v>IDÉLIKA</x:v>
      </x:c>
      <x:c r="B3" s="17" t="str">
        <x:v>School Series</x:v>
      </x:c>
      <x:c r="C3" s="17" t="str">
        <x:v>4 SCHOOL SERIES 2026.pdf</x:v>
      </x:c>
      <x:c r="D3" s="21" t="n">
        <x:v>6</x:v>
      </x:c>
      <x:c r="E3" s="17" t="str">
        <x:v>idelika:school-series:sin-sku:8f31da17449603d0230f</x:v>
      </x:c>
      <x:c r="F3" s="17"/>
      <x:c r="G3" s="22" t="str">
        <x:v>por_verificar</x:v>
      </x:c>
      <x:c r="H3" s="17" t="str">
        <x:v>Pupitre Mentor</x:v>
      </x:c>
      <x:c r="I3" s="17"/>
      <x:c r="J3" s="17"/>
      <x:c r="K3" s="17"/>
      <x:c r="L3" s="17" t="str">
        <x:v>59*80*85</x:v>
      </x:c>
      <x:c r="M3" s="17" t="str">
        <x:v>Medidas: 59*80*85 Estructura tubular redondo, con travesaños de asiento en tuvo redondo, terminado en pintura epóxica texturizada. Colores: Verde, vino, mostaza , azul y negro. Tus alumnos con estos pupitres, seguro sacarán las notas más altas. Cómodos e inspiradores.</x:v>
      </x:c>
      <x:c r="N3" s="22" t="str">
        <x:v>pieza</x:v>
      </x:c>
      <x:c r="O3" s="23"/>
      <x:c r="P3" s="23"/>
      <x:c r="Q3" s="17"/>
      <x:c r="R3" s="22" t="str">
        <x:v>por_confirmar</x:v>
      </x:c>
      <x:c r="S3" s="22" t="str">
        <x:v>Sí</x:v>
      </x:c>
      <x:c r="T3" s="24"/>
      <x:c r="U3" s="17" t="str">
        <x:v>https://graph.microsoft.com/v1.0/me/drive/items/01DHXXN7YTQLPUZXRUN5E3J62UE2JQUWNC#page=6</x:v>
      </x:c>
      <x:c r="V3" s="17" t="str">
        <x:v>https://graph.microsoft.com/v1.0/me/drive/items/01DHXXN7YTQLPUZXRUN5E3J62UE2JQUWNC</x:v>
      </x:c>
      <x:c r="W3" s="17" t="str">
        <x:v>8f31da17449603d0230facecabc7d95016c7bd5d3e02a3bddd43270162cdbff0</x:v>
      </x:c>
      <x:c r="X3" s="17" t="str">
        <x:v>SKU no publicado; se conserva una identidad técnica estable. Precio por confirmar.</x:v>
      </x:c>
    </x:row>
    <x:row r="4" ht="34" customHeight="1">
      <x:c r="A4" s="17" t="str">
        <x:v>IDÉLIKA</x:v>
      </x:c>
      <x:c r="B4" s="17" t="str">
        <x:v>School Series</x:v>
      </x:c>
      <x:c r="C4" s="17" t="str">
        <x:v>4 SCHOOL SERIES 2026.pdf</x:v>
      </x:c>
      <x:c r="D4" s="21" t="n">
        <x:v>7</x:v>
      </x:c>
      <x:c r="E4" s="17" t="str">
        <x:v>idelika:school-series:sin-sku:798878058b9baa705adc</x:v>
      </x:c>
      <x:c r="F4" s="17"/>
      <x:c r="G4" s="22" t="str">
        <x:v>por_verificar</x:v>
      </x:c>
      <x:c r="H4" s="17" t="str">
        <x:v>Pupitre Campus</x:v>
      </x:c>
      <x:c r="I4" s="17"/>
      <x:c r="J4" s="17"/>
      <x:c r="K4" s="17" t="str">
        <x:v>tubo de acero negro y aluminio.</x:v>
      </x:c>
      <x:c r="L4" s="17" t="str">
        <x:v>49*50*81</x:v>
      </x:c>
      <x:c r="M4" s="17" t="str">
        <x:v>Medidas: 49*50*81 Un pupitre de estructura de tubo de acero redondo 7/8 pintado con epóxica texturizada color negro y aluminio. Respaldo y asiento en una sola pieza. Diseño ergonómico que ¡será la razón de que los alumnos, quieran estudiar pese a ser la hora de salida! Producto fabricación 4 semanas</x:v>
      </x:c>
      <x:c r="N4" s="22" t="str">
        <x:v>pieza</x:v>
      </x:c>
      <x:c r="O4" s="23"/>
      <x:c r="P4" s="23"/>
      <x:c r="Q4" s="17"/>
      <x:c r="R4" s="22" t="str">
        <x:v>por_confirmar</x:v>
      </x:c>
      <x:c r="S4" s="22" t="str">
        <x:v>Sí</x:v>
      </x:c>
      <x:c r="T4" s="24"/>
      <x:c r="U4" s="17" t="str">
        <x:v>https://graph.microsoft.com/v1.0/me/drive/items/01DHXXN7YTQLPUZXRUN5E3J62UE2JQUWNC#page=7</x:v>
      </x:c>
      <x:c r="V4" s="17" t="str">
        <x:v>https://graph.microsoft.com/v1.0/me/drive/items/01DHXXN7YTQLPUZXRUN5E3J62UE2JQUWNC</x:v>
      </x:c>
      <x:c r="W4" s="17" t="str">
        <x:v>798878058b9baa705adc8b9ab48e5477e8136f5f6e02ae6f28274ae21471f367</x:v>
      </x:c>
      <x:c r="X4" s="17" t="str">
        <x:v>SKU no publicado; se conserva una identidad técnica estable. Precio por confirmar.</x:v>
      </x:c>
    </x:row>
    <x:row r="5" ht="34" customHeight="1">
      <x:c r="A5" s="17" t="str">
        <x:v>IDÉLIKA</x:v>
      </x:c>
      <x:c r="B5" s="17" t="str">
        <x:v>School Series</x:v>
      </x:c>
      <x:c r="C5" s="17" t="str">
        <x:v>4 SCHOOL SERIES 2026.pdf</x:v>
      </x:c>
      <x:c r="D5" s="21" t="n">
        <x:v>7</x:v>
      </x:c>
      <x:c r="E5" s="17" t="str">
        <x:v>idelika:school-series:sin-sku:51e4292262a8b087c079</x:v>
      </x:c>
      <x:c r="F5" s="17"/>
      <x:c r="G5" s="22" t="str">
        <x:v>por_verificar</x:v>
      </x:c>
      <x:c r="H5" s="17" t="str">
        <x:v>Silla Campus</x:v>
      </x:c>
      <x:c r="I5" s="17"/>
      <x:c r="J5" s="17"/>
      <x:c r="K5" s="17"/>
      <x:c r="L5" s="17" t="str">
        <x:v>48*49*81</x:v>
      </x:c>
      <x:c r="M5" s="17" t="str">
        <x:v>Medidas: 48*49*81 Ideal para auditorios o cafetería o cualquier uso de colectividad que requiera flexibilidad sin perder diseño disponible en 4 colores</x:v>
      </x:c>
      <x:c r="N5" s="22" t="str">
        <x:v>pieza</x:v>
      </x:c>
      <x:c r="O5" s="23"/>
      <x:c r="P5" s="23"/>
      <x:c r="Q5" s="17"/>
      <x:c r="R5" s="22" t="str">
        <x:v>por_confirmar</x:v>
      </x:c>
      <x:c r="S5" s="22" t="str">
        <x:v>Sí</x:v>
      </x:c>
      <x:c r="T5" s="24"/>
      <x:c r="U5" s="17" t="str">
        <x:v>https://graph.microsoft.com/v1.0/me/drive/items/01DHXXN7YTQLPUZXRUN5E3J62UE2JQUWNC#page=7</x:v>
      </x:c>
      <x:c r="V5" s="17" t="str">
        <x:v>https://graph.microsoft.com/v1.0/me/drive/items/01DHXXN7YTQLPUZXRUN5E3J62UE2JQUWNC</x:v>
      </x:c>
      <x:c r="W5" s="17" t="str">
        <x:v>51e4292262a8b087c079a19ba6a3c988ca63bc0192602289172ac73085ee9af8</x:v>
      </x:c>
      <x:c r="X5" s="17" t="str">
        <x:v>SKU no publicado; se conserva una identidad técnica estable. Precio por confirmar.</x:v>
      </x:c>
    </x:row>
    <x:row r="6" ht="34" customHeight="1">
      <x:c r="A6" s="17" t="str">
        <x:v>IDÉLIKA</x:v>
      </x:c>
      <x:c r="B6" s="17" t="str">
        <x:v>School Series</x:v>
      </x:c>
      <x:c r="C6" s="17" t="str">
        <x:v>4 SCHOOL SERIES 2026.pdf</x:v>
      </x:c>
      <x:c r="D6" s="21" t="n">
        <x:v>7</x:v>
      </x:c>
      <x:c r="E6" s="17" t="str">
        <x:v>idelika:school-series:sin-sku:4f4a6c9b105ec6397b33</x:v>
      </x:c>
      <x:c r="F6" s="17"/>
      <x:c r="G6" s="22" t="str">
        <x:v>por_verificar</x:v>
      </x:c>
      <x:c r="H6" s="17" t="str">
        <x:v>Banco Lab</x:v>
      </x:c>
      <x:c r="I6" s="17"/>
      <x:c r="J6" s="17"/>
      <x:c r="K6" s="17"/>
      <x:c r="L6" s="17" t="str">
        <x:v>Medidas: 55*55*63</x:v>
      </x:c>
      <x:c r="M6" s="17" t="str">
        <x:v>Medidas: 55*55*63 Asiento en polietileno de alta densidad, con UV y retardante a flama grado UL98HB Colores negro, gris y azul. Terminado en Pintura gris o negro, mecanismo de ajuste De altura tipo cajero.</x:v>
      </x:c>
      <x:c r="N6" s="22" t="str">
        <x:v>pieza</x:v>
      </x:c>
      <x:c r="O6" s="23"/>
      <x:c r="P6" s="23"/>
      <x:c r="Q6" s="17"/>
      <x:c r="R6" s="22" t="str">
        <x:v>por_confirmar</x:v>
      </x:c>
      <x:c r="S6" s="22" t="str">
        <x:v>Sí</x:v>
      </x:c>
      <x:c r="T6" s="24"/>
      <x:c r="U6" s="17" t="str">
        <x:v>https://graph.microsoft.com/v1.0/me/drive/items/01DHXXN7YTQLPUZXRUN5E3J62UE2JQUWNC#page=7</x:v>
      </x:c>
      <x:c r="V6" s="17" t="str">
        <x:v>https://graph.microsoft.com/v1.0/me/drive/items/01DHXXN7YTQLPUZXRUN5E3J62UE2JQUWNC</x:v>
      </x:c>
      <x:c r="W6" s="17" t="str">
        <x:v>4f4a6c9b105ec6397b33a6ebba93dfd9d84e867e3230b2c99b4220b288477e5c</x:v>
      </x:c>
      <x:c r="X6" s="17" t="str">
        <x:v>SKU no publicado; se conserva una identidad técnica estable. Precio por confirmar.</x:v>
      </x:c>
    </x:row>
    <x:row r="7" ht="34" customHeight="1">
      <x:c r="A7" s="17" t="str">
        <x:v>IDÉLIKA</x:v>
      </x:c>
      <x:c r="B7" s="17" t="str">
        <x:v>School Series</x:v>
      </x:c>
      <x:c r="C7" s="17" t="str">
        <x:v>4 SCHOOL SERIES 2026.pdf</x:v>
      </x:c>
      <x:c r="D7" s="21" t="n">
        <x:v>8</x:v>
      </x:c>
      <x:c r="E7" s="17" t="str">
        <x:v>idelika:school-series:sin-sku:31ec33d0028991e86901</x:v>
      </x:c>
      <x:c r="F7" s="17"/>
      <x:c r="G7" s="22" t="str">
        <x:v>por_verificar</x:v>
      </x:c>
      <x:c r="H7" s="17" t="str">
        <x:v>A) Escritorio Classroom</x:v>
      </x:c>
      <x:c r="I7" s="17"/>
      <x:c r="J7" s="17"/>
      <x:c r="K7" s="17"/>
      <x:c r="L7" s="17" t="str">
        <x:v>55*54*78</x:v>
      </x:c>
      <x:c r="M7" s="17" t="str">
        <x:v>Medidas: 55*54*78</x:v>
      </x:c>
      <x:c r="N7" s="22" t="str">
        <x:v>pieza</x:v>
      </x:c>
      <x:c r="O7" s="23"/>
      <x:c r="P7" s="23"/>
      <x:c r="Q7" s="17"/>
      <x:c r="R7" s="22" t="str">
        <x:v>por_confirmar</x:v>
      </x:c>
      <x:c r="S7" s="22" t="str">
        <x:v>Sí</x:v>
      </x:c>
      <x:c r="T7" s="24"/>
      <x:c r="U7" s="17" t="str">
        <x:v>https://graph.microsoft.com/v1.0/me/drive/items/01DHXXN7YTQLPUZXRUN5E3J62UE2JQUWNC#page=8</x:v>
      </x:c>
      <x:c r="V7" s="17" t="str">
        <x:v>https://graph.microsoft.com/v1.0/me/drive/items/01DHXXN7YTQLPUZXRUN5E3J62UE2JQUWNC</x:v>
      </x:c>
      <x:c r="W7" s="17" t="str">
        <x:v>31ec33d0028991e86901444d6f0d8b1c0b98e58b997e650994a0c4ff8ac25851</x:v>
      </x:c>
      <x:c r="X7" s="17" t="str">
        <x:v>SKU no publicado; se conserva una identidad técnica estable. Precio por confirmar.</x:v>
      </x:c>
    </x:row>
    <x:row r="8" ht="34" customHeight="1">
      <x:c r="A8" s="17" t="str">
        <x:v>IDÉLIKA</x:v>
      </x:c>
      <x:c r="B8" s="17" t="str">
        <x:v>School Series</x:v>
      </x:c>
      <x:c r="C8" s="17" t="str">
        <x:v>4 SCHOOL SERIES 2026.pdf</x:v>
      </x:c>
      <x:c r="D8" s="21" t="n">
        <x:v>8</x:v>
      </x:c>
      <x:c r="E8" s="17" t="str">
        <x:v>idelika:school-series:sin-sku:4efa9bb697b71b2a1ca2</x:v>
      </x:c>
      <x:c r="F8" s="17"/>
      <x:c r="G8" s="22" t="str">
        <x:v>por_verificar</x:v>
      </x:c>
      <x:c r="H8" s="17" t="str">
        <x:v>B) Pupitre Classroom</x:v>
      </x:c>
      <x:c r="I8" s="17"/>
      <x:c r="J8" s="17"/>
      <x:c r="K8" s="17"/>
      <x:c r="L8" s="17" t="str">
        <x:v>55*50*78</x:v>
      </x:c>
      <x:c r="M8" s="17" t="str">
        <x:v>Medidas: 55*50*78</x:v>
      </x:c>
      <x:c r="N8" s="22" t="str">
        <x:v>pieza</x:v>
      </x:c>
      <x:c r="O8" s="23"/>
      <x:c r="P8" s="23"/>
      <x:c r="Q8" s="17"/>
      <x:c r="R8" s="22" t="str">
        <x:v>por_confirmar</x:v>
      </x:c>
      <x:c r="S8" s="22" t="str">
        <x:v>Sí</x:v>
      </x:c>
      <x:c r="T8" s="24"/>
      <x:c r="U8" s="17" t="str">
        <x:v>https://graph.microsoft.com/v1.0/me/drive/items/01DHXXN7YTQLPUZXRUN5E3J62UE2JQUWNC#page=8</x:v>
      </x:c>
      <x:c r="V8" s="17" t="str">
        <x:v>https://graph.microsoft.com/v1.0/me/drive/items/01DHXXN7YTQLPUZXRUN5E3J62UE2JQUWNC</x:v>
      </x:c>
      <x:c r="W8" s="17" t="str">
        <x:v>4efa9bb697b71b2a1ca225ebb2694783f4492225304bc49187c3014f72f0ea4c</x:v>
      </x:c>
      <x:c r="X8" s="17" t="str">
        <x:v>SKU no publicado; se conserva una identidad técnica estable. Precio por confirmar.</x:v>
      </x:c>
    </x:row>
    <x:row r="9" ht="34" customHeight="1">
      <x:c r="A9" s="17" t="str">
        <x:v>IDÉLIKA</x:v>
      </x:c>
      <x:c r="B9" s="17" t="str">
        <x:v>School Series</x:v>
      </x:c>
      <x:c r="C9" s="17" t="str">
        <x:v>4 SCHOOL SERIES 2026.pdf</x:v>
      </x:c>
      <x:c r="D9" s="21" t="n">
        <x:v>8</x:v>
      </x:c>
      <x:c r="E9" s="17" t="str">
        <x:v>idelika:school-series:sin-sku:27aaddf0678eddece675</x:v>
      </x:c>
      <x:c r="F9" s="17"/>
      <x:c r="G9" s="22" t="str">
        <x:v>por_verificar</x:v>
      </x:c>
      <x:c r="H9" s="17" t="str">
        <x:v>C) Pupitre Classroom</x:v>
      </x:c>
      <x:c r="I9" s="17"/>
      <x:c r="J9" s="17"/>
      <x:c r="K9" s="17"/>
      <x:c r="L9" s="17" t="str">
        <x:v>50*50*78</x:v>
      </x:c>
      <x:c r="M9" s="17" t="str">
        <x:v>Medidas: 50*50*78</x:v>
      </x:c>
      <x:c r="N9" s="22" t="str">
        <x:v>pieza</x:v>
      </x:c>
      <x:c r="O9" s="23"/>
      <x:c r="P9" s="23"/>
      <x:c r="Q9" s="17"/>
      <x:c r="R9" s="22" t="str">
        <x:v>por_confirmar</x:v>
      </x:c>
      <x:c r="S9" s="22" t="str">
        <x:v>Sí</x:v>
      </x:c>
      <x:c r="T9" s="24"/>
      <x:c r="U9" s="17" t="str">
        <x:v>https://graph.microsoft.com/v1.0/me/drive/items/01DHXXN7YTQLPUZXRUN5E3J62UE2JQUWNC#page=8</x:v>
      </x:c>
      <x:c r="V9" s="17" t="str">
        <x:v>https://graph.microsoft.com/v1.0/me/drive/items/01DHXXN7YTQLPUZXRUN5E3J62UE2JQUWNC</x:v>
      </x:c>
      <x:c r="W9" s="17" t="str">
        <x:v>27aaddf0678eddece6750f2545c43b514fdb0ab5880740fc5f874b5d1dff13fa</x:v>
      </x:c>
      <x:c r="X9" s="17" t="str">
        <x:v>SKU no publicado; se conserva una identidad técnica estable. Precio por confirmar.</x:v>
      </x:c>
    </x:row>
    <x:row r="10" ht="34" customHeight="1">
      <x:c r="A10" s="17" t="str">
        <x:v>IDÉLIKA</x:v>
      </x:c>
      <x:c r="B10" s="17" t="str">
        <x:v>School Series</x:v>
      </x:c>
      <x:c r="C10" s="17" t="str">
        <x:v>4 SCHOOL SERIES 2026.pdf</x:v>
      </x:c>
      <x:c r="D10" s="21" t="n">
        <x:v>8</x:v>
      </x:c>
      <x:c r="E10" s="17" t="str">
        <x:v>idelika:school-series:sin-sku:21dd214d082012d1e9e2</x:v>
      </x:c>
      <x:c r="F10" s="17"/>
      <x:c r="G10" s="22" t="str">
        <x:v>por_verificar</x:v>
      </x:c>
      <x:c r="H10" s="17" t="str">
        <x:v>D) Pupitre Classroom</x:v>
      </x:c>
      <x:c r="I10" s="17"/>
      <x:c r="J10" s="17"/>
      <x:c r="K10" s="17" t="str">
        <x:v>Acero calibre 18 polipropileno uso</x:v>
      </x:c>
      <x:c r="L10" s="17" t="str">
        <x:v>50*50*78</x:v>
      </x:c>
      <x:c r="M10" s="17" t="str">
        <x:v>Medidas: 50*50*78 Acero calibre 18 Con pintura epóxica y asiento en concha de polipropileno uso Rudo. A B C D</x:v>
      </x:c>
      <x:c r="N10" s="22" t="str">
        <x:v>pieza</x:v>
      </x:c>
      <x:c r="O10" s="23"/>
      <x:c r="P10" s="23"/>
      <x:c r="Q10" s="17"/>
      <x:c r="R10" s="22" t="str">
        <x:v>por_confirmar</x:v>
      </x:c>
      <x:c r="S10" s="22" t="str">
        <x:v>Sí</x:v>
      </x:c>
      <x:c r="T10" s="24"/>
      <x:c r="U10" s="17" t="str">
        <x:v>https://graph.microsoft.com/v1.0/me/drive/items/01DHXXN7YTQLPUZXRUN5E3J62UE2JQUWNC#page=8</x:v>
      </x:c>
      <x:c r="V10" s="17" t="str">
        <x:v>https://graph.microsoft.com/v1.0/me/drive/items/01DHXXN7YTQLPUZXRUN5E3J62UE2JQUWNC</x:v>
      </x:c>
      <x:c r="W10" s="17" t="str">
        <x:v>21dd214d082012d1e9e258411591b02c5128a912a63c7485abdf54101f9a69ae</x:v>
      </x:c>
      <x:c r="X10" s="17" t="str">
        <x:v>SKU no publicado; se conserva una identidad técnica estable. Precio por confirmar.</x:v>
      </x:c>
    </x:row>
    <x:row r="11" ht="34" customHeight="1">
      <x:c r="A11" s="17" t="str">
        <x:v>IDÉLIKA</x:v>
      </x:c>
      <x:c r="B11" s="17" t="str">
        <x:v>School Series</x:v>
      </x:c>
      <x:c r="C11" s="17" t="str">
        <x:v>4 SCHOOL SERIES 2026.pdf</x:v>
      </x:c>
      <x:c r="D11" s="21" t="n">
        <x:v>8</x:v>
      </x:c>
      <x:c r="E11" s="17" t="str">
        <x:v>idelika:school-series:sin-sku:db2f0bcb9d2926fec45f</x:v>
      </x:c>
      <x:c r="F11" s="17"/>
      <x:c r="G11" s="22" t="str">
        <x:v>por_verificar</x:v>
      </x:c>
      <x:c r="H11" s="17" t="str">
        <x:v>Mesa rubic</x:v>
      </x:c>
      <x:c r="I11" s="17"/>
      <x:c r="J11" s="17"/>
      <x:c r="K11" s="17" t="str">
        <x:v>metálica de acero 4 patas de acero</x:v>
      </x:c>
      <x:c r="L11" s="17" t="str">
        <x:v>120*60*78 | 117/51*61*78</x:v>
      </x:c>
      <x:c r="M11" s="17" t="str">
        <x:v>Medidas: 120*60*78 rectangular 117/51*61*78 trapecio Estructura metálica de acero en tubular rectangular de 2¼”x3/4” cal. 18 y 4 patas de acero tubular cuadrado de 1” cal. 18, refuerzo en tubo cuadrado de 3/4” cal. 18. Varios tonos para este práctico escritorio rojo, naranja, blanco, verde, amarillo y azul. Modular para distribuciones Montessori</x:v>
      </x:c>
      <x:c r="N11" s="22" t="str">
        <x:v>pieza</x:v>
      </x:c>
      <x:c r="O11" s="23"/>
      <x:c r="P11" s="23"/>
      <x:c r="Q11" s="17"/>
      <x:c r="R11" s="22" t="str">
        <x:v>por_confirmar</x:v>
      </x:c>
      <x:c r="S11" s="22" t="str">
        <x:v>Sí</x:v>
      </x:c>
      <x:c r="T11" s="24"/>
      <x:c r="U11" s="17" t="str">
        <x:v>https://graph.microsoft.com/v1.0/me/drive/items/01DHXXN7YTQLPUZXRUN5E3J62UE2JQUWNC#page=8</x:v>
      </x:c>
      <x:c r="V11" s="17" t="str">
        <x:v>https://graph.microsoft.com/v1.0/me/drive/items/01DHXXN7YTQLPUZXRUN5E3J62UE2JQUWNC</x:v>
      </x:c>
      <x:c r="W11" s="17" t="str">
        <x:v>db2f0bcb9d2926fec45fa5109ae606cb52bfc764d50fa70ccbf8d7929bf10850</x:v>
      </x:c>
      <x:c r="X11" s="17" t="str">
        <x:v>SKU no publicado; se conserva una identidad técnica estable. Precio por confirmar.</x:v>
      </x:c>
    </x:row>
    <x:row r="12" ht="34" customHeight="1">
      <x:c r="A12" s="17" t="str">
        <x:v>IDÉLIKA</x:v>
      </x:c>
      <x:c r="B12" s="17" t="str">
        <x:v>School Series</x:v>
      </x:c>
      <x:c r="C12" s="17" t="str">
        <x:v>4 SCHOOL SERIES 2026.pdf</x:v>
      </x:c>
      <x:c r="D12" s="21" t="n">
        <x:v>9</x:v>
      </x:c>
      <x:c r="E12" s="17" t="str">
        <x:v>idelika:school-series:sin-sku:32917b9ee12dc8ff0774</x:v>
      </x:c>
      <x:c r="F12" s="17"/>
      <x:c r="G12" s="22" t="str">
        <x:v>por_verificar</x:v>
      </x:c>
      <x:c r="H12" s="17" t="str">
        <x:v>Mesa rubic minion</x:v>
      </x:c>
      <x:c r="I12" s="17"/>
      <x:c r="J12" s="17"/>
      <x:c r="K12" s="17"/>
      <x:c r="L12" s="17" t="str">
        <x:v>Medidas: 120*60*78</x:v>
      </x:c>
      <x:c r="M12" s="17" t="str">
        <x:v>Medidas: 120*60*78</x:v>
      </x:c>
      <x:c r="N12" s="22" t="str">
        <x:v>pieza</x:v>
      </x:c>
      <x:c r="O12" s="23"/>
      <x:c r="P12" s="23"/>
      <x:c r="Q12" s="17"/>
      <x:c r="R12" s="22" t="str">
        <x:v>por_confirmar</x:v>
      </x:c>
      <x:c r="S12" s="22" t="str">
        <x:v>Sí</x:v>
      </x:c>
      <x:c r="T12" s="24"/>
      <x:c r="U12" s="17" t="str">
        <x:v>https://graph.microsoft.com/v1.0/me/drive/items/01DHXXN7YTQLPUZXRUN5E3J62UE2JQUWNC#page=9</x:v>
      </x:c>
      <x:c r="V12" s="17" t="str">
        <x:v>https://graph.microsoft.com/v1.0/me/drive/items/01DHXXN7YTQLPUZXRUN5E3J62UE2JQUWNC</x:v>
      </x:c>
      <x:c r="W12" s="17" t="str">
        <x:v>32917b9ee12dc8ff0774ed1dbc5a43b13b66e5b589f0f7819483708a89e4e61f</x:v>
      </x:c>
      <x:c r="X12" s="17" t="str">
        <x:v>SKU no publicado; se conserva una identidad técnica estable. Precio por confirmar.</x:v>
      </x:c>
    </x:row>
    <x:row r="13" ht="34" customHeight="1">
      <x:c r="A13" s="17" t="str">
        <x:v>IDÉLIKA</x:v>
      </x:c>
      <x:c r="B13" s="17" t="str">
        <x:v>School Series</x:v>
      </x:c>
      <x:c r="C13" s="17" t="str">
        <x:v>4 SCHOOL SERIES 2026.pdf</x:v>
      </x:c>
      <x:c r="D13" s="21" t="n">
        <x:v>9</x:v>
      </x:c>
      <x:c r="E13" s="17" t="str">
        <x:v>idelika:school-series:sin-sku:2ad4790a770fdf8215c2</x:v>
      </x:c>
      <x:c r="F13" s="17"/>
      <x:c r="G13" s="22" t="str">
        <x:v>por_verificar</x:v>
      </x:c>
      <x:c r="H13" s="17" t="str">
        <x:v>Silla Flexus</x:v>
      </x:c>
      <x:c r="I13" s="17"/>
      <x:c r="J13" s="17"/>
      <x:c r="K13" s="17"/>
      <x:c r="L13" s="17" t="str">
        <x:v>Medidas: 34*37*60 kinder | Medidas: 33*31*57 preescolar</x:v>
      </x:c>
      <x:c r="M13" s="17" t="str">
        <x:v>Medidas: 34*37*60 kinder Medidas: 33*31*57 preescolar</x:v>
      </x:c>
      <x:c r="N13" s="22" t="str">
        <x:v>pieza</x:v>
      </x:c>
      <x:c r="O13" s="23"/>
      <x:c r="P13" s="23"/>
      <x:c r="Q13" s="17"/>
      <x:c r="R13" s="22" t="str">
        <x:v>por_confirmar</x:v>
      </x:c>
      <x:c r="S13" s="22" t="str">
        <x:v>Sí</x:v>
      </x:c>
      <x:c r="T13" s="24"/>
      <x:c r="U13" s="17" t="str">
        <x:v>https://graph.microsoft.com/v1.0/me/drive/items/01DHXXN7YTQLPUZXRUN5E3J62UE2JQUWNC#page=9</x:v>
      </x:c>
      <x:c r="V13" s="17" t="str">
        <x:v>https://graph.microsoft.com/v1.0/me/drive/items/01DHXXN7YTQLPUZXRUN5E3J62UE2JQUWNC</x:v>
      </x:c>
      <x:c r="W13" s="17" t="str">
        <x:v>2ad4790a770fdf8215c2ef59e975ed5edd4f5796bbd332c31d77fdd33475d389</x:v>
      </x:c>
      <x:c r="X13" s="17" t="str">
        <x:v>SKU no publicado; se conserva una identidad técnica estable. Precio por confirmar.</x:v>
      </x:c>
    </x:row>
    <x:row r="14" ht="34" customHeight="1">
      <x:c r="A14" s="17" t="str">
        <x:v>IDÉLIKA</x:v>
      </x:c>
      <x:c r="B14" s="17" t="str">
        <x:v>School Series</x:v>
      </x:c>
      <x:c r="C14" s="17" t="str">
        <x:v>4 SCHOOL SERIES 2026.pdf</x:v>
      </x:c>
      <x:c r="D14" s="21" t="n">
        <x:v>12</x:v>
      </x:c>
      <x:c r="E14" s="17" t="str">
        <x:v>idelika:school-series:sin-sku:8b8f709c2dd45edcc7fc</x:v>
      </x:c>
      <x:c r="F14" s="17"/>
      <x:c r="G14" s="22" t="str">
        <x:v>por_verificar</x:v>
      </x:c>
      <x:c r="H14" s="17" t="str">
        <x:v>Legión set Pic-nic</x:v>
      </x:c>
      <x:c r="I14" s="17"/>
      <x:c r="J14" s="17"/>
      <x:c r="K14" s="17" t="str">
        <x:v>Fabricado en acero tubular En concha de polipropileno Cubierta de melamina</x:v>
      </x:c>
      <x:c r="L14" s="17" t="str">
        <x:v>Cubierta 120*60 | Medida total 120*160*82</x:v>
      </x:c>
      <x:c r="M14" s="17" t="str">
        <x:v>Cubierta 120*60 Medida total 120*160*82 Fabricado en acero tubular Calibre 18 con pintura Electroestática y asiento En concha de polipropileno Cubierta de melamina Encapsulada apta para Exteriores. Pedido exclusivo de Importación. Consultar tiempos de Entrega. Producto exclusivo de importación mínimo 10 sets</x:v>
      </x:c>
      <x:c r="N14" s="22" t="str">
        <x:v>pieza</x:v>
      </x:c>
      <x:c r="O14" s="23"/>
      <x:c r="P14" s="23"/>
      <x:c r="Q14" s="17"/>
      <x:c r="R14" s="22" t="str">
        <x:v>por_confirmar</x:v>
      </x:c>
      <x:c r="S14" s="22" t="str">
        <x:v>Sí</x:v>
      </x:c>
      <x:c r="T14" s="24" t="n">
        <x:v>10</x:v>
      </x:c>
      <x:c r="U14" s="17" t="str">
        <x:v>https://graph.microsoft.com/v1.0/me/drive/items/01DHXXN7YTQLPUZXRUN5E3J62UE2JQUWNC#page=12</x:v>
      </x:c>
      <x:c r="V14" s="17" t="str">
        <x:v>https://graph.microsoft.com/v1.0/me/drive/items/01DHXXN7YTQLPUZXRUN5E3J62UE2JQUWNC</x:v>
      </x:c>
      <x:c r="W14" s="17" t="str">
        <x:v>8b8f709c2dd45edcc7fc09cfb47b8db0dc739100044af02791dc22361b279b10</x:v>
      </x:c>
      <x:c r="X14" s="17" t="str">
        <x:v>SKU no publicado; se conserva una identidad técnica estable. Precio por confirmar.</x:v>
      </x:c>
    </x:row>
    <x:row r="15" ht="34" customHeight="1">
      <x:c r="A15" s="17" t="str">
        <x:v>IDÉLIKA</x:v>
      </x:c>
      <x:c r="B15" s="17" t="str">
        <x:v>School Series</x:v>
      </x:c>
      <x:c r="C15" s="17" t="str">
        <x:v>4 SCHOOL SERIES 2026.pdf</x:v>
      </x:c>
      <x:c r="D15" s="21" t="n">
        <x:v>13</x:v>
      </x:c>
      <x:c r="E15" s="17" t="str">
        <x:v>idelika:school-series:sin-sku:4cd2f6e32aba4f21f648</x:v>
      </x:c>
      <x:c r="F15" s="17"/>
      <x:c r="G15" s="22" t="str">
        <x:v>por_verificar</x:v>
      </x:c>
      <x:c r="H15" s="17" t="str">
        <x:v>Silla Jous primaria</x:v>
      </x:c>
      <x:c r="I15" s="17"/>
      <x:c r="J15" s="17"/>
      <x:c r="K15" s="17" t="str">
        <x:v>Fabricado en acero tubular En concha de polipropileno</x:v>
      </x:c>
      <x:c r="L15" s="17"/>
      <x:c r="M15" s="17" t="str">
        <x:v>Fabricado en acero tubular Calibre 18 con pintura Electroestática y asiento En concha de polipropileno</x:v>
      </x:c>
      <x:c r="N15" s="22" t="str">
        <x:v>pieza</x:v>
      </x:c>
      <x:c r="O15" s="23"/>
      <x:c r="P15" s="23"/>
      <x:c r="Q15" s="17"/>
      <x:c r="R15" s="22" t="str">
        <x:v>por_confirmar</x:v>
      </x:c>
      <x:c r="S15" s="22" t="str">
        <x:v>Sí</x:v>
      </x:c>
      <x:c r="T15" s="24"/>
      <x:c r="U15" s="17" t="str">
        <x:v>https://graph.microsoft.com/v1.0/me/drive/items/01DHXXN7YTQLPUZXRUN5E3J62UE2JQUWNC#page=13</x:v>
      </x:c>
      <x:c r="V15" s="17" t="str">
        <x:v>https://graph.microsoft.com/v1.0/me/drive/items/01DHXXN7YTQLPUZXRUN5E3J62UE2JQUWNC</x:v>
      </x:c>
      <x:c r="W15" s="17" t="str">
        <x:v>4cd2f6e32aba4f21f6487473ad4ac7c794e083af438929ac9ff01968b0d54b41</x:v>
      </x:c>
      <x:c r="X15" s="17" t="str">
        <x:v>SKU no publicado; se conserva una identidad técnica estable. Precio por confirmar.</x:v>
      </x:c>
    </x:row>
    <x:row r="16" ht="34" customHeight="1">
      <x:c r="A16" s="17" t="str">
        <x:v>IDÉLIKA</x:v>
      </x:c>
      <x:c r="B16" s="17" t="str">
        <x:v>School Series</x:v>
      </x:c>
      <x:c r="C16" s="17" t="str">
        <x:v>4 SCHOOL SERIES 2026.pdf</x:v>
      </x:c>
      <x:c r="D16" s="21" t="n">
        <x:v>13</x:v>
      </x:c>
      <x:c r="E16" s="17" t="str">
        <x:v>idelika:school-series:sin-sku:cf9853aa4f28f556a9cf</x:v>
      </x:c>
      <x:c r="F16" s="17"/>
      <x:c r="G16" s="22" t="str">
        <x:v>por_verificar</x:v>
      </x:c>
      <x:c r="H16" s="17" t="str">
        <x:v>Mesa architect</x:v>
      </x:c>
      <x:c r="I16" s="17"/>
      <x:c r="J16" s="17"/>
      <x:c r="K16" s="17" t="str">
        <x:v>Fabricado en acero tubular En laminado plástico</x:v>
      </x:c>
      <x:c r="L16" s="17" t="str">
        <x:v>Medida: 64*48*71</x:v>
      </x:c>
      <x:c r="M16" s="17" t="str">
        <x:v>Medida: 64*48*71 Fabricado en acero tubular Calibre 18 con pintura Electroestática y cubierta En laminado plástico</x:v>
      </x:c>
      <x:c r="N16" s="22" t="str">
        <x:v>pieza</x:v>
      </x:c>
      <x:c r="O16" s="23"/>
      <x:c r="P16" s="23"/>
      <x:c r="Q16" s="17"/>
      <x:c r="R16" s="22" t="str">
        <x:v>por_confirmar</x:v>
      </x:c>
      <x:c r="S16" s="22" t="str">
        <x:v>Sí</x:v>
      </x:c>
      <x:c r="T16" s="24"/>
      <x:c r="U16" s="17" t="str">
        <x:v>https://graph.microsoft.com/v1.0/me/drive/items/01DHXXN7YTQLPUZXRUN5E3J62UE2JQUWNC#page=13</x:v>
      </x:c>
      <x:c r="V16" s="17" t="str">
        <x:v>https://graph.microsoft.com/v1.0/me/drive/items/01DHXXN7YTQLPUZXRUN5E3J62UE2JQUWNC</x:v>
      </x:c>
      <x:c r="W16" s="17" t="str">
        <x:v>cf9853aa4f28f556a9cfc2866bbc7147b02322ef089d74a82e4d1f4ab78f7818</x:v>
      </x:c>
      <x:c r="X16" s="17" t="str">
        <x:v>SKU no publicado; se conserva una identidad técnica estable. Precio por confirmar.</x:v>
      </x:c>
    </x:row>
    <x:row r="17" ht="34" customHeight="1">
      <x:c r="A17" s="17" t="str">
        <x:v>IDÉLIKA</x:v>
      </x:c>
      <x:c r="B17" s="17" t="str">
        <x:v>School Series</x:v>
      </x:c>
      <x:c r="C17" s="17" t="str">
        <x:v>4 SCHOOL SERIES 2026.pdf</x:v>
      </x:c>
      <x:c r="D17" s="21" t="n">
        <x:v>13</x:v>
      </x:c>
      <x:c r="E17" s="17" t="str">
        <x:v>idelika:school-series:sin-sku:c267f2fe68d935500602</x:v>
      </x:c>
      <x:c r="F17" s="17"/>
      <x:c r="G17" s="22" t="str">
        <x:v>por_verificar</x:v>
      </x:c>
      <x:c r="H17" s="17" t="str">
        <x:v>Eco pupitre</x:v>
      </x:c>
      <x:c r="I17" s="17"/>
      <x:c r="J17" s="17"/>
      <x:c r="K17" s="17" t="str">
        <x:v>Fabricado en acero tubular En laminado plástico Concha de polipropileno</x:v>
      </x:c>
      <x:c r="L17" s="17" t="str">
        <x:v>Medida: 58*50*78</x:v>
      </x:c>
      <x:c r="M17" s="17" t="str">
        <x:v>Medida: 58*50*78 Fabricado en acero tubular Calibre 18 con pintura Electroestática y cubierta En laminado plástico Concha de polipropileno</x:v>
      </x:c>
      <x:c r="N17" s="22" t="str">
        <x:v>pieza</x:v>
      </x:c>
      <x:c r="O17" s="23"/>
      <x:c r="P17" s="23"/>
      <x:c r="Q17" s="17"/>
      <x:c r="R17" s="22" t="str">
        <x:v>por_confirmar</x:v>
      </x:c>
      <x:c r="S17" s="22" t="str">
        <x:v>Sí</x:v>
      </x:c>
      <x:c r="T17" s="24"/>
      <x:c r="U17" s="17" t="str">
        <x:v>https://graph.microsoft.com/v1.0/me/drive/items/01DHXXN7YTQLPUZXRUN5E3J62UE2JQUWNC#page=13</x:v>
      </x:c>
      <x:c r="V17" s="17" t="str">
        <x:v>https://graph.microsoft.com/v1.0/me/drive/items/01DHXXN7YTQLPUZXRUN5E3J62UE2JQUWNC</x:v>
      </x:c>
      <x:c r="W17" s="17" t="str">
        <x:v>c267f2fe68d935500602e536fea31b8d28bc040f3ed4753833f2630046d7e793</x:v>
      </x:c>
      <x:c r="X17" s="17" t="str">
        <x:v>SKU no publicado; se conserva una identidad técnica estable. Precio por confirmar.</x:v>
      </x:c>
    </x:row>
    <x:row r="18" ht="34" customHeight="1">
      <x:c r="A18" s="17" t="str">
        <x:v>IDÉLIKA</x:v>
      </x:c>
      <x:c r="B18" s="17" t="str">
        <x:v>School Series</x:v>
      </x:c>
      <x:c r="C18" s="17" t="str">
        <x:v>4 SCHOOL SERIES 2026.pdf</x:v>
      </x:c>
      <x:c r="D18" s="21" t="n">
        <x:v>13</x:v>
      </x:c>
      <x:c r="E18" s="17" t="str">
        <x:v>idelika:school-series:sin-sku:ef2c4f4b1cb43b4ae587</x:v>
      </x:c>
      <x:c r="F18" s="17"/>
      <x:c r="G18" s="22" t="str">
        <x:v>por_verificar</x:v>
      </x:c>
      <x:c r="H18" s="17" t="str">
        <x:v>Pintarrón interactivo</x:v>
      </x:c>
      <x:c r="I18" s="17"/>
      <x:c r="J18" s="17"/>
      <x:c r="K18" s="17"/>
      <x:c r="L18" s="17" t="str">
        <x:v>Importación 177*122</x:v>
      </x:c>
      <x:c r="M18" s="17" t="str">
        <x:v>Metálico porcelanizado, interface USB compatible con windows 7 a 10, tecnología touch screen (no incluye el proyector)</x:v>
      </x:c>
      <x:c r="N18" s="22" t="str">
        <x:v>pieza</x:v>
      </x:c>
      <x:c r="O18" s="23"/>
      <x:c r="P18" s="23"/>
      <x:c r="Q18" s="17"/>
      <x:c r="R18" s="22" t="str">
        <x:v>por_confirmar</x:v>
      </x:c>
      <x:c r="S18" s="22" t="str">
        <x:v>Sí</x:v>
      </x:c>
      <x:c r="T18" s="24"/>
      <x:c r="U18" s="17" t="str">
        <x:v>https://graph.microsoft.com/v1.0/me/drive/items/01DHXXN7YTQLPUZXRUN5E3J62UE2JQUWNC#page=13</x:v>
      </x:c>
      <x:c r="V18" s="17" t="str">
        <x:v>https://graph.microsoft.com/v1.0/me/drive/items/01DHXXN7YTQLPUZXRUN5E3J62UE2JQUWNC</x:v>
      </x:c>
      <x:c r="W18" s="17" t="str">
        <x:v>ef2c4f4b1cb43b4ae58739e68e8cf02fee6eb5fc903ce529cbdf2a13ca409966</x:v>
      </x:c>
      <x:c r="X18" s="17" t="str">
        <x:v>SKU no publicado; se conserva una identidad técnica estable. Precio por confirmar.</x:v>
      </x:c>
    </x:row>
    <x:row r="19" ht="34" customHeight="1">
      <x:c r="A19" s="17" t="str">
        <x:v>IDÉLIKA</x:v>
      </x:c>
      <x:c r="B19" s="17" t="str">
        <x:v>School Series</x:v>
      </x:c>
      <x:c r="C19" s="17" t="str">
        <x:v>4 SCHOOL SERIES 2026.pdf</x:v>
      </x:c>
      <x:c r="D19" s="21" t="n">
        <x:v>13</x:v>
      </x:c>
      <x:c r="E19" s="17" t="str">
        <x:v>idelika:school-series:sin-sku:1546c1d8554afdb92814</x:v>
      </x:c>
      <x:c r="F19" s="17"/>
      <x:c r="G19" s="22" t="str">
        <x:v>por_verificar</x:v>
      </x:c>
      <x:c r="H19" s="17" t="str">
        <x:v>Pintarrón White star</x:v>
      </x:c>
      <x:c r="I19" s="17"/>
      <x:c r="J19" s="17"/>
      <x:c r="K19" s="17" t="str">
        <x:v>aluminio anodizado antióxido</x:v>
      </x:c>
      <x:c r="L19" s="17" t="str">
        <x:v>Importación 240*120</x:v>
      </x:c>
      <x:c r="M19" s="17" t="str">
        <x:v>Material: Pintarrón blanco con borde de aluminio anodizado antióxido</x:v>
      </x:c>
      <x:c r="N19" s="22" t="str">
        <x:v>pieza</x:v>
      </x:c>
      <x:c r="O19" s="23"/>
      <x:c r="P19" s="23"/>
      <x:c r="Q19" s="17"/>
      <x:c r="R19" s="22" t="str">
        <x:v>por_confirmar</x:v>
      </x:c>
      <x:c r="S19" s="22" t="str">
        <x:v>Sí</x:v>
      </x:c>
      <x:c r="T19" s="24"/>
      <x:c r="U19" s="17" t="str">
        <x:v>https://graph.microsoft.com/v1.0/me/drive/items/01DHXXN7YTQLPUZXRUN5E3J62UE2JQUWNC#page=13</x:v>
      </x:c>
      <x:c r="V19" s="17" t="str">
        <x:v>https://graph.microsoft.com/v1.0/me/drive/items/01DHXXN7YTQLPUZXRUN5E3J62UE2JQUWNC</x:v>
      </x:c>
      <x:c r="W19" s="17" t="str">
        <x:v>1546c1d8554afdb9281443cf46292fab227e0268471af198d77848b897537331</x:v>
      </x:c>
      <x:c r="X19" s="17" t="str">
        <x:v>SKU no publicado; se conserva una identidad técnica estable. Precio por confirmar.</x:v>
      </x:c>
    </x:row>
    <x:row r="20" ht="34" customHeight="1">
      <x:c r="A20" s="17" t="str">
        <x:v>IDÉLIKA</x:v>
      </x:c>
      <x:c r="B20" s="17" t="str">
        <x:v>School Series</x:v>
      </x:c>
      <x:c r="C20" s="17" t="str">
        <x:v>4 SCHOOL SERIES 2026.pdf</x:v>
      </x:c>
      <x:c r="D20" s="21" t="n">
        <x:v>13</x:v>
      </x:c>
      <x:c r="E20" s="17" t="str">
        <x:v>idelika:school-series:sin-sku:a3baa6fd91c89db31755</x:v>
      </x:c>
      <x:c r="F20" s="17"/>
      <x:c r="G20" s="22" t="str">
        <x:v>por_verificar</x:v>
      </x:c>
      <x:c r="H20" s="17" t="str">
        <x:v>Pintarrón pedestal giratorio</x:v>
      </x:c>
      <x:c r="I20" s="17"/>
      <x:c r="J20" s="17"/>
      <x:c r="K20" s="17" t="str">
        <x:v>Material: Pintarrón blanco con borde de aluminio anodizado</x:v>
      </x:c>
      <x:c r="L20" s="17" t="str">
        <x:v>Importación 180*120</x:v>
      </x:c>
      <x:c r="M20" s="17" t="str">
        <x:v>Material: Pintarrón blanco con borde de aluminio anodizado antióxido</x:v>
      </x:c>
      <x:c r="N20" s="22" t="str">
        <x:v>pieza</x:v>
      </x:c>
      <x:c r="O20" s="23"/>
      <x:c r="P20" s="23"/>
      <x:c r="Q20" s="17"/>
      <x:c r="R20" s="22" t="str">
        <x:v>por_confirmar</x:v>
      </x:c>
      <x:c r="S20" s="22" t="str">
        <x:v>Sí</x:v>
      </x:c>
      <x:c r="T20" s="24"/>
      <x:c r="U20" s="17" t="str">
        <x:v>https://graph.microsoft.com/v1.0/me/drive/items/01DHXXN7YTQLPUZXRUN5E3J62UE2JQUWNC#page=13</x:v>
      </x:c>
      <x:c r="V20" s="17" t="str">
        <x:v>https://graph.microsoft.com/v1.0/me/drive/items/01DHXXN7YTQLPUZXRUN5E3J62UE2JQUWNC</x:v>
      </x:c>
      <x:c r="W20" s="17" t="str">
        <x:v>a3baa6fd91c89db31755615cdb713bb23327243a01885113ba97ca8249f5c757</x:v>
      </x:c>
      <x:c r="X20" s="17" t="str">
        <x:v>SKU no publicado; se conserva una identidad técnica estable. Precio por confirmar.</x:v>
      </x:c>
    </x:row>
    <x:row r="21" ht="34" customHeight="1">
      <x:c r="A21" s="17" t="str">
        <x:v>IDÉLIKA</x:v>
      </x:c>
      <x:c r="B21" s="17" t="str">
        <x:v>School Series</x:v>
      </x:c>
      <x:c r="C21" s="17" t="str">
        <x:v>4 SCHOOL SERIES 2026.pdf</x:v>
      </x:c>
      <x:c r="D21" s="21" t="n">
        <x:v>13</x:v>
      </x:c>
      <x:c r="E21" s="17" t="str">
        <x:v>idelika:school-series:sin-sku:9082ce3e95b8d9a9d91a</x:v>
      </x:c>
      <x:c r="F21" s="17"/>
      <x:c r="G21" s="22" t="str">
        <x:v>por_verificar</x:v>
      </x:c>
      <x:c r="H21" s="17" t="str">
        <x:v>Touch all in one 65” o 86”</x:v>
      </x:c>
      <x:c r="I21" s="17"/>
      <x:c r="J21" s="17"/>
      <x:c r="K21" s="17"/>
      <x:c r="L21" s="17" t="str">
        <x:v>Importación 142*80 ó 190*106</x:v>
      </x:c>
      <x:c r="M21" s="17" t="str">
        <x:v>Tecnología touch, resolución 4k, compatible con diversos sistemas operativos, incluye sistema Android.</x:v>
      </x:c>
      <x:c r="N21" s="22" t="str">
        <x:v>pieza</x:v>
      </x:c>
      <x:c r="O21" s="23"/>
      <x:c r="P21" s="23"/>
      <x:c r="Q21" s="17"/>
      <x:c r="R21" s="22" t="str">
        <x:v>por_confirmar</x:v>
      </x:c>
      <x:c r="S21" s="22" t="str">
        <x:v>Sí</x:v>
      </x:c>
      <x:c r="T21" s="24"/>
      <x:c r="U21" s="17" t="str">
        <x:v>https://graph.microsoft.com/v1.0/me/drive/items/01DHXXN7YTQLPUZXRUN5E3J62UE2JQUWNC#page=13</x:v>
      </x:c>
      <x:c r="V21" s="17" t="str">
        <x:v>https://graph.microsoft.com/v1.0/me/drive/items/01DHXXN7YTQLPUZXRUN5E3J62UE2JQUWNC</x:v>
      </x:c>
      <x:c r="W21" s="17" t="str">
        <x:v>9082ce3e95b8d9a9d91aaaa96eab4d95604ab3d265ff070321b32642e151338d</x:v>
      </x:c>
      <x:c r="X21" s="17" t="str">
        <x:v>SKU no publicado; se conserva una identidad técnica estable. Precio por confirmar.</x:v>
      </x:c>
    </x:row>
  </x:sheetData>
  <x:pageMargins left="0.7" right="0.7" top="0.75" bottom="0.75" header="0.3" footer="0.3"/>
  <x:tableParts count="1">
    <x:tablePart xmlns:r="http://schemas.openxmlformats.org/officeDocument/2006/relationships" r:id="R2e000e0e69114d6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9" hidden="0" customWidth="1"/>
    <x:col min="3" max="3" width="48" hidden="0" customWidth="1"/>
    <x:col min="4" max="4" width="24" hidden="0" customWidth="1"/>
    <x:col min="5" max="5" width="56" hidden="0" customWidth="1"/>
    <x:col min="6" max="6" width="16" hidden="0" customWidth="1"/>
    <x:col min="7" max="7" width="16" hidden="0" customWidth="1"/>
  </x:cols>
  <x:sheetData>
    <x:row r="1" ht="32" customHeight="1">
      <x:c r="A1" s="27" t="str">
        <x:v>SPEC Guide IDÉLIKA 2026 — Fuentes, reglas y control</x:v>
      </x:c>
      <x:c r="B1" s="27"/>
      <x:c r="C1" s="27"/>
      <x:c r="D1" s="27"/>
      <x:c r="E1" s="27"/>
      <x:c r="F1" s="27"/>
      <x:c r="G1" s="27"/>
    </x:row>
    <x:row r="2" ht="24" customHeight="1">
      <x:c r="A2" s="30" t="str">
        <x:v>Evidencia aprobada · fecha de extracción 2026-08-02 · moneda MXN · orden determinista del parser</x:v>
      </x:c>
      <x:c r="B2" s="30"/>
      <x:c r="C2" s="30"/>
      <x:c r="D2" s="30"/>
      <x:c r="E2" s="30"/>
      <x:c r="F2" s="30"/>
      <x:c r="G2" s="30"/>
    </x:row>
    <x:row r="4">
      <x:c r="A4" s="33" t="str">
        <x:v>Fuentes oficiales</x:v>
      </x:c>
      <x:c r="B4" s="33"/>
      <x:c r="C4" s="33"/>
      <x:c r="D4" s="33"/>
      <x:c r="E4" s="33"/>
      <x:c r="F4" s="33"/>
      <x:c r="G4" s="33"/>
    </x:row>
    <x:row r="5" ht="32" customHeight="1">
      <x:c r="A5" s="38" t="str">
        <x:v>Subcatálogo</x:v>
      </x:c>
      <x:c r="B5" s="38" t="str">
        <x:v>Archivo</x:v>
      </x:c>
      <x:c r="C5" s="38" t="str">
        <x:v>URL de procedencia</x:v>
      </x:c>
      <x:c r="D5" s="38" t="str">
        <x:v>SHA-256</x:v>
      </x:c>
      <x:c r="E5" s="38" t="str">
        <x:v>Filas</x:v>
      </x:c>
      <x:c r="F5" s="38" t="str">
        <x:v>Confirmados</x:v>
      </x:c>
      <x:c r="G5" s="38" t="str">
        <x:v>Pendientes</x:v>
      </x:c>
    </x:row>
    <x:row r="6" ht="44" customHeight="1">
      <x:c r="A6" s="59" t="str">
        <x:v>Fabricacion</x:v>
      </x:c>
      <x:c r="B6" s="60" t="str">
        <x:v>1 CATALOGO FABRICACION 2026B.pdf</x:v>
      </x:c>
      <x:c r="C6" s="60" t="str">
        <x:v>https://graph.microsoft.com/v1.0/me/drive/items/01DHXXN7YJMCJUVPBWNJEJPJIH7B4OTAUR</x:v>
      </x:c>
      <x:c r="D6" s="60" t="str">
        <x:v>b3bfe5761f850fd2203e0f8054d801b42d3b4e7c6c8d349ac8d30bc28fb64cfb</x:v>
      </x:c>
      <x:c r="E6" s="60" t="n">
        <x:f>COUNTIF('Consolidado'!$B$2:$B$221,A6)</x:f>
        <x:v>138</x:v>
      </x:c>
      <x:c r="F6" s="60" t="n">
        <x:f>COUNTIFS('Consolidado'!$B$2:$B$221,A6,'Consolidado'!$R$2:$R$221,"confirmado")</x:f>
        <x:v>134</x:v>
      </x:c>
      <x:c r="G6" s="61" t="n">
        <x:f>COUNTIFS('Consolidado'!$B$2:$B$221,A6,'Consolidado'!$R$2:$R$221,"por_confirmar")</x:f>
        <x:v>4</x:v>
      </x:c>
    </x:row>
    <x:row r="7" ht="44" customHeight="1">
      <x:c r="A7" s="62" t="str">
        <x:v>Stock</x:v>
      </x:c>
      <x:c r="B7" s="63" t="str">
        <x:v>2 CATALOGO STOCK 2026.pdf</x:v>
      </x:c>
      <x:c r="C7" s="63" t="str">
        <x:v>https://graph.microsoft.com/v1.0/me/drive/items/01DHXXN7YASXKBZPOLSBHIX2N2T3PB4G2R</x:v>
      </x:c>
      <x:c r="D7" s="63" t="str">
        <x:v>a40a53e8599615a0bd2fc21fe5a1658a32a2cc83ad2ee5e89ce8bb1d9d372f76</x:v>
      </x:c>
      <x:c r="E7" s="63" t="n">
        <x:f>COUNTIF('Consolidado'!$B$2:$B$221,A7)</x:f>
        <x:v>62</x:v>
      </x:c>
      <x:c r="F7" s="63" t="n">
        <x:f>COUNTIFS('Consolidado'!$B$2:$B$221,A7,'Consolidado'!$R$2:$R$221,"confirmado")</x:f>
        <x:v>61</x:v>
      </x:c>
      <x:c r="G7" s="64" t="n">
        <x:f>COUNTIFS('Consolidado'!$B$2:$B$221,A7,'Consolidado'!$R$2:$R$221,"por_confirmar")</x:f>
        <x:v>1</x:v>
      </x:c>
    </x:row>
    <x:row r="8" ht="44" customHeight="1">
      <x:c r="A8" s="65" t="str">
        <x:v>School Series</x:v>
      </x:c>
      <x:c r="B8" s="66" t="str">
        <x:v>4 SCHOOL SERIES 2026.pdf</x:v>
      </x:c>
      <x:c r="C8" s="66" t="str">
        <x:v>https://graph.microsoft.com/v1.0/me/drive/items/01DHXXN7YTQLPUZXRUN5E3J62UE2JQUWNC</x:v>
      </x:c>
      <x:c r="D8" s="66" t="str">
        <x:v>6fcafbb6c973e961510eead9fcf3aacdcf94ac59d48d6d2bcf7b38c7a710f2ec</x:v>
      </x:c>
      <x:c r="E8" s="66" t="n">
        <x:f>COUNTIF('Consolidado'!$B$2:$B$221,A8)</x:f>
        <x:v>20</x:v>
      </x:c>
      <x:c r="F8" s="66" t="n">
        <x:f>COUNTIFS('Consolidado'!$B$2:$B$221,A8,'Consolidado'!$R$2:$R$221,"confirmado")</x:f>
        <x:v>0</x:v>
      </x:c>
      <x:c r="G8" s="67" t="n">
        <x:f>COUNTIFS('Consolidado'!$B$2:$B$221,A8,'Consolidado'!$R$2:$R$221,"por_confirmar")</x:f>
        <x:v>20</x:v>
      </x:c>
    </x:row>
    <x:row r="10">
      <x:c r="A10" s="69" t="str">
        <x:v>Métricas vivas de control</x:v>
      </x:c>
      <x:c r="B10" s="69"/>
      <x:c r="D10" s="97" t="str">
        <x:v>Reglas aprobadas</x:v>
      </x:c>
      <x:c r="E10" s="97"/>
      <x:c r="F10" s="97"/>
      <x:c r="G10" s="97"/>
    </x:row>
    <x:row r="11" ht="35" customHeight="1">
      <x:c r="A11" s="78" t="str">
        <x:v>Total de filas publicables</x:v>
      </x:c>
      <x:c r="B11" s="93" t="n">
        <x:f>COUNTA('Consolidado'!$E$2:$E$221)</x:f>
        <x:v>220</x:v>
      </x:c>
      <x:c r="D11" s="127" t="str">
        <x:v>Costo</x:v>
      </x:c>
      <x:c r="E11" s="119" t="str">
        <x:v>En un par aplicable, el menor importe es Costo_MXN y el mayor es referencia.</x:v>
      </x:c>
      <x:c r="F11" s="119"/>
      <x:c r="G11" s="120"/>
    </x:row>
    <x:row r="12" ht="35" customHeight="1">
      <x:c r="A12" s="80" t="str">
        <x:v>Fabricación</x:v>
      </x:c>
      <x:c r="B12" s="94" t="n">
        <x:f>COUNTIF('Consolidado'!$B$2:$B$221,"Fabricacion")</x:f>
        <x:v>138</x:v>
      </x:c>
      <x:c r="D12" s="128" t="str">
        <x:v>Precio único</x:v>
      </x:c>
      <x:c r="E12" s="122" t="str">
        <x:v>Un importe inequívoco es costo; la referencia queda vacía.</x:v>
      </x:c>
      <x:c r="F12" s="122"/>
      <x:c r="G12" s="123"/>
    </x:row>
    <x:row r="13" ht="35" customHeight="1">
      <x:c r="A13" s="80" t="str">
        <x:v>Stock</x:v>
      </x:c>
      <x:c r="B13" s="94" t="n">
        <x:f>COUNTIF('Consolidado'!$B$2:$B$221,"Stock")</x:f>
        <x:v>62</x:v>
      </x:c>
      <x:c r="D13" s="128" t="str">
        <x:v>Pendientes</x:v>
      </x:c>
      <x:c r="E13" s="122" t="str">
        <x:v>Sin precio: costo vacío, Estado_precio por_confirmar y Cotizable Sí.</x:v>
      </x:c>
      <x:c r="F13" s="122"/>
      <x:c r="G13" s="123"/>
    </x:row>
    <x:row r="14" ht="35" customHeight="1">
      <x:c r="A14" s="80" t="str">
        <x:v>School Series</x:v>
      </x:c>
      <x:c r="B14" s="94" t="n">
        <x:f>COUNTIF('Consolidado'!$B$2:$B$221,"School Series")</x:f>
        <x:v>20</x:v>
      </x:c>
      <x:c r="D14" s="128" t="str">
        <x:v>Código</x:v>
      </x:c>
      <x:c r="E14" s="122" t="str">
        <x:v>Solo se conserva un SKU publicado; nunca se inventan códigos oficiales.</x:v>
      </x:c>
      <x:c r="F14" s="122"/>
      <x:c r="G14" s="123"/>
    </x:row>
    <x:row r="15" ht="35" customHeight="1">
      <x:c r="A15" s="80" t="str">
        <x:v>Costos confirmados</x:v>
      </x:c>
      <x:c r="B15" s="94" t="n">
        <x:f>COUNT('Consolidado'!$O$2:$O$221)</x:f>
        <x:v>195</x:v>
      </x:c>
      <x:c r="D15" s="128" t="str">
        <x:v>Identidad</x:v>
      </x:c>
      <x:c r="E15" s="122" t="str">
        <x:v>Clave_estable e Identidad_hash reproducibles desde evidencia y procedencia.</x:v>
      </x:c>
      <x:c r="F15" s="122"/>
      <x:c r="G15" s="123"/>
    </x:row>
    <x:row r="16" ht="35" customHeight="1">
      <x:c r="A16" s="80" t="str">
        <x:v>Precios pendientes</x:v>
      </x:c>
      <x:c r="B16" s="94" t="n">
        <x:f>COUNTIF('Consolidado'!$R$2:$R$221,"por_confirmar")</x:f>
        <x:v>25</x:v>
      </x:c>
      <x:c r="D16" s="128" t="str">
        <x:v>Procedencia</x:v>
      </x:c>
      <x:c r="E16" s="122" t="str">
        <x:v>Cada fila conserva PDF, página física 1-based y URL oficial de Graph.</x:v>
      </x:c>
      <x:c r="F16" s="122"/>
      <x:c r="G16" s="123"/>
    </x:row>
    <x:row r="17" ht="35" customHeight="1">
      <x:c r="A17" s="80" t="str">
        <x:v>Códigos oficiales</x:v>
      </x:c>
      <x:c r="B17" s="94" t="n">
        <x:f>COUNTIF('Consolidado'!$G$2:$G$221,"oficial")</x:f>
        <x:v>0</x:v>
      </x:c>
      <x:c r="D17" s="128" t="str">
        <x:v>Orden</x:v>
      </x:c>
      <x:c r="E17" s="122" t="str">
        <x:v>Fabricacion, Stock y School Series; dentro de cada fuente, orden del parser aprobado.</x:v>
      </x:c>
      <x:c r="F17" s="122"/>
      <x:c r="G17" s="123"/>
    </x:row>
    <x:row r="18" ht="35" customHeight="1">
      <x:c r="A18" s="80" t="str">
        <x:v>Códigos por verificar</x:v>
      </x:c>
      <x:c r="B18" s="94" t="n">
        <x:f>COUNTIF('Consolidado'!$G$2:$G$221,"por_verificar")</x:f>
        <x:v>220</x:v>
      </x:c>
      <x:c r="D18" s="128" t="str">
        <x:v>Exclusión</x:v>
      </x:c>
      <x:c r="E18" s="122" t="str">
        <x:v>TEQUILA LOVE.pdf queda fuera del conjunto aprobado.</x:v>
      </x:c>
      <x:c r="F18" s="122"/>
      <x:c r="G18" s="123"/>
    </x:row>
    <x:row r="19" ht="35" customHeight="1">
      <x:c r="A19" s="80" t="str">
        <x:v>Claves estables duplicadas</x:v>
      </x:c>
      <x:c r="B19" s="94" t="n">
        <x:f>SUMPRODUCT(--(COUNTIF('Consolidado'!$E$2:$E$221,'Consolidado'!$E$2:$E$221)&gt;1))</x:f>
        <x:v>0</x:v>
      </x:c>
      <x:c r="D19" s="128" t="str">
        <x:v>Moneda</x:v>
      </x:c>
      <x:c r="E19" s="122" t="str">
        <x:v>Importes numéricos en MXN; los pendientes nunca se convierten en cero.</x:v>
      </x:c>
      <x:c r="F19" s="122"/>
      <x:c r="G19" s="123"/>
    </x:row>
    <x:row r="20" ht="35" customHeight="1">
      <x:c r="A20" s="80" t="str">
        <x:v>Identidades duplicadas</x:v>
      </x:c>
      <x:c r="B20" s="94" t="n">
        <x:f>SUMPRODUCT(--(COUNTIF('Consolidado'!$W$2:$W$221,'Consolidado'!$W$2:$W$221)&gt;1))</x:f>
        <x:v>0</x:v>
      </x:c>
      <x:c r="D20" s="128" t="str">
        <x:v>Publicación</x:v>
      </x:c>
      <x:c r="E20" s="122" t="str">
        <x:v>Este libro es evidencia local; no crea snapshots ni publica en sistemas externos.</x:v>
      </x:c>
      <x:c r="F20" s="122"/>
      <x:c r="G20" s="123"/>
    </x:row>
    <x:row r="21" ht="35" customHeight="1">
      <x:c r="A21" s="82" t="str">
        <x:v>Conflictos de precio</x:v>
      </x:c>
      <x:c r="B21" s="95" t="n">
        <x:f>SUMPRODUCT(--(COUNTIFS('Consolidado'!$W$2:$W$221,'Consolidado'!$W$2:$W$221,'Consolidado'!$O$2:$O$221,"&lt;&gt;"&amp;'Consolidado'!$O$2:$O$221)&gt;0))</x:f>
        <x:v>0</x:v>
      </x:c>
      <x:c r="D21" s="129" t="str">
        <x:v>Control</x:v>
      </x:c>
      <x:c r="E21" s="125" t="str">
        <x:v>Las métricas de esta hoja son fórmulas vivas que referencian Consolidado.</x:v>
      </x:c>
      <x:c r="F21" s="125"/>
      <x:c r="G21" s="126"/>
    </x:row>
  </x:sheetData>
  <x:mergeCells>
    <x:mergeCell ref="A1:G1"/>
    <x:mergeCell ref="A2:G2"/>
    <x:mergeCell ref="A4:G4"/>
    <x:mergeCell ref="A10:B10"/>
    <x:mergeCell ref="D10:G10"/>
  </x:mergeCells>
  <x:pageMargins left="0.7" right="0.7" top="0.75" bottom="0.75" header="0.3" footer="0.3"/>
</x:worksheet>
</file>